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si\Documents\SONDAGEM REBOCADORES\"/>
    </mc:Choice>
  </mc:AlternateContent>
  <xr:revisionPtr revIDLastSave="0" documentId="13_ncr:1_{0820D213-07C7-439F-B5E7-01F46FDC3389}" xr6:coauthVersionLast="47" xr6:coauthVersionMax="47" xr10:uidLastSave="{00000000-0000-0000-0000-000000000000}"/>
  <bookViews>
    <workbookView minimized="1" xWindow="2250" yWindow="2250" windowWidth="21600" windowHeight="11835" tabRatio="917" activeTab="14" xr2:uid="{C9DDA581-6EDA-4E20-81DE-D5DEA04951DC}"/>
  </bookViews>
  <sheets>
    <sheet name="SONDAGEM CLASSE C 322-326" sheetId="1" r:id="rId1"/>
    <sheet name="FODAY.P" sheetId="2" r:id="rId2"/>
    <sheet name="FODAY.S" sheetId="3" r:id="rId3"/>
    <sheet name="FOAFT.P" sheetId="4" r:id="rId4"/>
    <sheet name="FOAFT.S" sheetId="5" r:id="rId5"/>
    <sheet name="FODB.P" sheetId="6" r:id="rId6"/>
    <sheet name="FODB.C" sheetId="7" r:id="rId7"/>
    <sheet name="FODB.S" sheetId="8" r:id="rId8"/>
    <sheet name="FODAY.P 50" sheetId="9" r:id="rId9"/>
    <sheet name="FODAY.S 50" sheetId="10" r:id="rId10"/>
    <sheet name="FO_AFT.P 50" sheetId="11" r:id="rId11"/>
    <sheet name="FO_AFT.S 50" sheetId="12" r:id="rId12"/>
    <sheet name="FODB.P 50" sheetId="13" r:id="rId13"/>
    <sheet name="FODB.C 50" sheetId="14" r:id="rId14"/>
    <sheet name="FODB.S 50" sheetId="15" r:id="rId15"/>
  </sheets>
  <externalReferences>
    <externalReference r:id="rId1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2" l="1"/>
  <c r="E1" i="15"/>
  <c r="E1" i="8"/>
  <c r="E1" i="7"/>
  <c r="E1" i="14"/>
  <c r="E2" i="14" s="1"/>
  <c r="G8" i="1" s="1"/>
  <c r="H8" i="1" s="1"/>
  <c r="E1" i="13"/>
  <c r="E2" i="13" s="1"/>
  <c r="G7" i="1" s="1"/>
  <c r="H7" i="1" s="1"/>
  <c r="E1" i="6"/>
  <c r="E2" i="6" s="1"/>
  <c r="E7" i="1" s="1"/>
  <c r="E1" i="12"/>
  <c r="E2" i="12" s="1"/>
  <c r="G6" i="1" s="1"/>
  <c r="H6" i="1" s="1"/>
  <c r="E1" i="5"/>
  <c r="E2" i="5" s="1"/>
  <c r="E6" i="1" s="1"/>
  <c r="E1" i="11"/>
  <c r="E2" i="11" s="1"/>
  <c r="G5" i="1" s="1"/>
  <c r="H5" i="1" s="1"/>
  <c r="E1" i="4"/>
  <c r="E1" i="10"/>
  <c r="E1" i="3"/>
  <c r="E1" i="2"/>
  <c r="E1" i="9"/>
  <c r="E2" i="9" s="1"/>
  <c r="G3" i="1" s="1"/>
  <c r="H3" i="1" s="1"/>
  <c r="E2" i="15"/>
  <c r="G9" i="1" s="1"/>
  <c r="H9" i="1" s="1"/>
  <c r="D9" i="1"/>
  <c r="D8" i="1"/>
  <c r="D7" i="1"/>
  <c r="D6" i="1"/>
  <c r="D5" i="1"/>
  <c r="D4" i="1"/>
  <c r="D3" i="1"/>
  <c r="E2" i="8"/>
  <c r="E9" i="1" s="1"/>
  <c r="E2" i="7"/>
  <c r="E8" i="1" s="1"/>
  <c r="E2" i="4"/>
  <c r="E5" i="1" s="1"/>
  <c r="E2" i="3"/>
  <c r="E4" i="1" s="1"/>
  <c r="E3" i="1" l="1"/>
  <c r="D10" i="1"/>
  <c r="F6" i="1"/>
  <c r="F7" i="1"/>
  <c r="F8" i="1"/>
  <c r="F5" i="1"/>
  <c r="F4" i="1" l="1"/>
  <c r="E2" i="10"/>
  <c r="G4" i="1" s="1"/>
  <c r="H4" i="1" s="1"/>
  <c r="F3" i="1"/>
  <c r="G10" i="1" l="1"/>
  <c r="H10" i="1" s="1"/>
  <c r="E10" i="1" l="1"/>
  <c r="F10" i="1" s="1"/>
  <c r="F9" i="1"/>
</calcChain>
</file>

<file path=xl/sharedStrings.xml><?xml version="1.0" encoding="utf-8"?>
<sst xmlns="http://schemas.openxmlformats.org/spreadsheetml/2006/main" count="81" uniqueCount="27">
  <si>
    <t>Snding</t>
  </si>
  <si>
    <t>LITERS</t>
  </si>
  <si>
    <t>SONDAGEM</t>
  </si>
  <si>
    <t>VOLUME</t>
  </si>
  <si>
    <t>TANQUE</t>
  </si>
  <si>
    <t>DESCRIÇÃO</t>
  </si>
  <si>
    <t>CAPACIDADE</t>
  </si>
  <si>
    <t>%</t>
  </si>
  <si>
    <t>DIARIO BB</t>
  </si>
  <si>
    <t>FODAY.P</t>
  </si>
  <si>
    <t>DIARIO BE</t>
  </si>
  <si>
    <t>FODAY.S</t>
  </si>
  <si>
    <t>LATERAL BB</t>
  </si>
  <si>
    <t>FO_AFT.P</t>
  </si>
  <si>
    <t>LATERAL BE</t>
  </si>
  <si>
    <t>FO_AFT.S</t>
  </si>
  <si>
    <t>DUPLO FUNDO BB</t>
  </si>
  <si>
    <t>FO_DB.P</t>
  </si>
  <si>
    <t>DUPLO FUNDO CENTRAL</t>
  </si>
  <si>
    <t>FO_DB.C</t>
  </si>
  <si>
    <t>DUPLO FUNDO BE</t>
  </si>
  <si>
    <t>FO_DB.S</t>
  </si>
  <si>
    <t>TOTAL</t>
  </si>
  <si>
    <t>TRIM 0</t>
  </si>
  <si>
    <t>TRIM 50</t>
  </si>
  <si>
    <t>VOLUME LITROS</t>
  </si>
  <si>
    <t>SONDAGEM CLASSE C                                           CARIPUNA - CAIAPÓ - CARAJÁ- CHARRUA - CRAÓ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</si>
</sst>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0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0" xfId="0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" fontId="2" fillId="2" borderId="2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 vertical="center"/>
      <protection locked="0"/>
    </xf>
    <xf numFmtId="9" fontId="2" fillId="5" borderId="2" xfId="0" applyNumberFormat="1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ssi/Documents/CLASSE%20C/SONDAGEM%20REBOCADOR%20CLASSE%20C%20-%20CASCO%203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NDAGEM TANQUES CLASSE C"/>
      <sheetName val="FODAY.P"/>
      <sheetName val="FODAY.S"/>
      <sheetName val="FO_AFT.P"/>
      <sheetName val="FO_AFT.S"/>
      <sheetName val="FO_DB.P"/>
      <sheetName val="FO_DB.C"/>
      <sheetName val="FO_DB.S"/>
      <sheetName val="FRESH_W.P"/>
      <sheetName val="FRESH_W.S"/>
      <sheetName val="FODAY.P 50"/>
      <sheetName val="FODAY.S 50"/>
      <sheetName val="FO_AFT.P 50"/>
      <sheetName val="FO_AFT.S 50"/>
      <sheetName val="FO_DB.P 50"/>
      <sheetName val="FO_DB.C 50"/>
      <sheetName val="FO_DB.S 50"/>
    </sheetNames>
    <sheetDataSet>
      <sheetData sheetId="0"/>
      <sheetData sheetId="1">
        <row r="31">
          <cell r="B31">
            <v>22623</v>
          </cell>
        </row>
      </sheetData>
      <sheetData sheetId="2">
        <row r="31">
          <cell r="B31">
            <v>22623</v>
          </cell>
        </row>
      </sheetData>
      <sheetData sheetId="3">
        <row r="25">
          <cell r="B25">
            <v>21254</v>
          </cell>
        </row>
      </sheetData>
      <sheetData sheetId="4">
        <row r="25">
          <cell r="B25">
            <v>21254</v>
          </cell>
        </row>
      </sheetData>
      <sheetData sheetId="5">
        <row r="37">
          <cell r="B37">
            <v>30231</v>
          </cell>
        </row>
      </sheetData>
      <sheetData sheetId="6">
        <row r="26">
          <cell r="B26">
            <v>44451</v>
          </cell>
        </row>
      </sheetData>
      <sheetData sheetId="7">
        <row r="37">
          <cell r="B37">
            <v>34110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4CB53-56D6-4AC7-8BBC-1D6118FB1CC5}">
  <dimension ref="A1:H10"/>
  <sheetViews>
    <sheetView showGridLines="0" showRowColHeaders="0" workbookViewId="0">
      <selection activeCell="C5" sqref="C5"/>
    </sheetView>
  </sheetViews>
  <sheetFormatPr defaultRowHeight="15" x14ac:dyDescent="0.25"/>
  <cols>
    <col min="1" max="2" width="45.85546875" style="2" customWidth="1"/>
    <col min="3" max="3" width="23" style="2" customWidth="1"/>
    <col min="4" max="4" width="25.42578125" style="2" customWidth="1"/>
    <col min="5" max="8" width="23" style="2" customWidth="1"/>
    <col min="9" max="16384" width="9.140625" style="2"/>
  </cols>
  <sheetData>
    <row r="1" spans="1:8" ht="114" customHeight="1" x14ac:dyDescent="0.25">
      <c r="A1" s="22" t="s">
        <v>26</v>
      </c>
      <c r="B1" s="22"/>
      <c r="C1" s="22"/>
      <c r="D1" s="21" t="s">
        <v>25</v>
      </c>
      <c r="E1" s="21"/>
      <c r="F1" s="21"/>
      <c r="G1" s="21"/>
      <c r="H1" s="21"/>
    </row>
    <row r="2" spans="1:8" ht="52.5" customHeight="1" x14ac:dyDescent="0.25">
      <c r="A2" s="11" t="s">
        <v>4</v>
      </c>
      <c r="B2" s="6" t="s">
        <v>5</v>
      </c>
      <c r="C2" s="6" t="s">
        <v>2</v>
      </c>
      <c r="D2" s="12" t="s">
        <v>6</v>
      </c>
      <c r="E2" s="13" t="s">
        <v>23</v>
      </c>
      <c r="F2" s="13" t="s">
        <v>7</v>
      </c>
      <c r="G2" s="13" t="s">
        <v>24</v>
      </c>
      <c r="H2" s="13" t="s">
        <v>7</v>
      </c>
    </row>
    <row r="3" spans="1:8" ht="52.5" customHeight="1" x14ac:dyDescent="0.25">
      <c r="A3" s="4" t="s">
        <v>8</v>
      </c>
      <c r="B3" s="10" t="s">
        <v>9</v>
      </c>
      <c r="C3" s="16">
        <v>2800</v>
      </c>
      <c r="D3" s="15">
        <f>[1]FODAY.P!B31</f>
        <v>22623</v>
      </c>
      <c r="E3" s="5">
        <f ca="1">FODAY.P!E2</f>
        <v>22491</v>
      </c>
      <c r="F3" s="14">
        <f t="shared" ref="F3:F10" ca="1" si="0">E3/D3</f>
        <v>0.99416523007558677</v>
      </c>
      <c r="G3" s="5">
        <f ca="1">'FODAY.P 50'!E2</f>
        <v>22516</v>
      </c>
      <c r="H3" s="14">
        <f ca="1">SUM(G3/D3)</f>
        <v>0.99527030013702866</v>
      </c>
    </row>
    <row r="4" spans="1:8" ht="52.5" customHeight="1" x14ac:dyDescent="0.25">
      <c r="A4" s="4" t="s">
        <v>10</v>
      </c>
      <c r="B4" s="3" t="s">
        <v>11</v>
      </c>
      <c r="C4" s="17">
        <v>2100</v>
      </c>
      <c r="D4" s="15">
        <f>[1]FODAY.S!B31</f>
        <v>22623</v>
      </c>
      <c r="E4" s="5">
        <f ca="1">FODAY.S!E2</f>
        <v>16810</v>
      </c>
      <c r="F4" s="14">
        <f t="shared" ca="1" si="0"/>
        <v>0.74304910931353052</v>
      </c>
      <c r="G4" s="5">
        <f ca="1">'FODAY.S 50'!E2</f>
        <v>16825</v>
      </c>
      <c r="H4" s="14">
        <f t="shared" ref="H4:H10" ca="1" si="1">G4/D4</f>
        <v>0.74371215135039559</v>
      </c>
    </row>
    <row r="5" spans="1:8" ht="52.5" customHeight="1" x14ac:dyDescent="0.25">
      <c r="A5" s="4" t="s">
        <v>12</v>
      </c>
      <c r="B5" s="3" t="s">
        <v>13</v>
      </c>
      <c r="C5" s="17">
        <v>2100</v>
      </c>
      <c r="D5" s="15">
        <f>[1]FO_AFT.P!B25</f>
        <v>21254</v>
      </c>
      <c r="E5" s="5">
        <f ca="1">FOAFT.P!E2</f>
        <v>18835</v>
      </c>
      <c r="F5" s="14">
        <f t="shared" ca="1" si="0"/>
        <v>0.88618612966970922</v>
      </c>
      <c r="G5" s="5">
        <f ca="1">'FO_AFT.P 50'!E2</f>
        <v>19353.000000000007</v>
      </c>
      <c r="H5" s="14">
        <f t="shared" ca="1" si="1"/>
        <v>0.91055801260939151</v>
      </c>
    </row>
    <row r="6" spans="1:8" ht="52.5" customHeight="1" x14ac:dyDescent="0.25">
      <c r="A6" s="4" t="s">
        <v>14</v>
      </c>
      <c r="B6" s="3" t="s">
        <v>15</v>
      </c>
      <c r="C6" s="17">
        <v>2000</v>
      </c>
      <c r="D6" s="15">
        <f>[1]FO_AFT.S!B25</f>
        <v>21254</v>
      </c>
      <c r="E6" s="5">
        <f ca="1">FOAFT.S!E2</f>
        <v>14180</v>
      </c>
      <c r="F6" s="14">
        <f t="shared" ca="1" si="0"/>
        <v>0.66716853298202694</v>
      </c>
      <c r="G6" s="5">
        <f ca="1">'FO_AFT.S 50'!E2</f>
        <v>14678</v>
      </c>
      <c r="H6" s="14">
        <f t="shared" ca="1" si="1"/>
        <v>0.69059941658040835</v>
      </c>
    </row>
    <row r="7" spans="1:8" ht="52.5" customHeight="1" x14ac:dyDescent="0.25">
      <c r="A7" s="4" t="s">
        <v>16</v>
      </c>
      <c r="B7" s="3" t="s">
        <v>17</v>
      </c>
      <c r="C7" s="17">
        <v>2000</v>
      </c>
      <c r="D7" s="15">
        <f>[1]FO_DB.P!B37</f>
        <v>30231</v>
      </c>
      <c r="E7" s="5">
        <f ca="1">FODB.P!E2</f>
        <v>25966</v>
      </c>
      <c r="F7" s="14">
        <f t="shared" ca="1" si="0"/>
        <v>0.85891965201283449</v>
      </c>
      <c r="G7" s="5">
        <f ca="1">'FODB.P 50'!E2</f>
        <v>25604</v>
      </c>
      <c r="H7" s="14">
        <f t="shared" ca="1" si="1"/>
        <v>0.84694518871357216</v>
      </c>
    </row>
    <row r="8" spans="1:8" ht="52.5" customHeight="1" x14ac:dyDescent="0.25">
      <c r="A8" s="4" t="s">
        <v>18</v>
      </c>
      <c r="B8" s="3" t="s">
        <v>19</v>
      </c>
      <c r="C8" s="17">
        <v>2000</v>
      </c>
      <c r="D8" s="15">
        <f>[1]FO_DB.C!B26</f>
        <v>44451</v>
      </c>
      <c r="E8" s="5">
        <f ca="1">FODB.C!E2</f>
        <v>35026</v>
      </c>
      <c r="F8" s="14">
        <f t="shared" ca="1" si="0"/>
        <v>0.78796877460574566</v>
      </c>
      <c r="G8" s="5">
        <f ca="1">'FODB.C 50'!E2</f>
        <v>34582</v>
      </c>
      <c r="H8" s="14">
        <f t="shared" ca="1" si="1"/>
        <v>0.77798024791343279</v>
      </c>
    </row>
    <row r="9" spans="1:8" ht="52.5" customHeight="1" x14ac:dyDescent="0.25">
      <c r="A9" s="4" t="s">
        <v>20</v>
      </c>
      <c r="B9" s="3" t="s">
        <v>21</v>
      </c>
      <c r="C9" s="16">
        <v>2000</v>
      </c>
      <c r="D9" s="15">
        <f>[1]FO_DB.S!B37</f>
        <v>34110</v>
      </c>
      <c r="E9" s="5">
        <f ca="1">FODB.S!E2</f>
        <v>29225</v>
      </c>
      <c r="F9" s="14">
        <f t="shared" ca="1" si="0"/>
        <v>0.85678686602169452</v>
      </c>
      <c r="G9" s="5">
        <f ca="1">'FODB.S 50'!E2</f>
        <v>29734</v>
      </c>
      <c r="H9" s="14">
        <f t="shared" ca="1" si="1"/>
        <v>0.87170917619466437</v>
      </c>
    </row>
    <row r="10" spans="1:8" ht="52.5" customHeight="1" x14ac:dyDescent="0.25">
      <c r="A10" s="18" t="s">
        <v>22</v>
      </c>
      <c r="B10" s="19"/>
      <c r="C10" s="20"/>
      <c r="D10" s="7">
        <f>SUM(D3:D9)</f>
        <v>196546</v>
      </c>
      <c r="E10" s="8">
        <f ca="1">SUM(E3:E9)</f>
        <v>162533</v>
      </c>
      <c r="F10" s="9">
        <f t="shared" ca="1" si="0"/>
        <v>0.82694636370111829</v>
      </c>
      <c r="G10" s="8">
        <f ca="1">SUM(G3:G9)</f>
        <v>163292</v>
      </c>
      <c r="H10" s="9">
        <f t="shared" ca="1" si="1"/>
        <v>0.83080805511178046</v>
      </c>
    </row>
  </sheetData>
  <mergeCells count="3">
    <mergeCell ref="A10:C10"/>
    <mergeCell ref="D1:H1"/>
    <mergeCell ref="A1:C1"/>
  </mergeCells>
  <conditionalFormatting sqref="F3:F9 H3:H9">
    <cfRule type="cellIs" dxfId="0" priority="1" operator="between">
      <formula>0.9</formula>
      <formula>1</formula>
    </cfRule>
  </conditionalFormatting>
  <dataValidations count="5">
    <dataValidation type="decimal" allowBlank="1" showInputMessage="1" showErrorMessage="1" errorTitle="ATENÇÃO !" error="APENAS VALORES DE 0 E 2900" promptTitle="ATENÇÃO!" prompt="VALORES ENTRE 0 E 2900" sqref="C3:C4" xr:uid="{023CBA83-2798-4027-B017-766D9BCD7CBC}">
      <formula1>0</formula1>
      <formula2>2900</formula2>
    </dataValidation>
    <dataValidation type="decimal" allowBlank="1" showInputMessage="1" showErrorMessage="1" errorTitle="ATENÇÃO !" error="APENAS VALORES ENTRE 0 E 2245" promptTitle="ATENÇÃO!" prompt="VALORES ENTRE 0 E 2245" sqref="C5" xr:uid="{A6A4220D-853D-448E-8D59-5DE6754D0F8C}">
      <formula1>0</formula1>
      <formula2>2245</formula2>
    </dataValidation>
    <dataValidation type="decimal" allowBlank="1" showInputMessage="1" showErrorMessage="1" errorTitle="ATENÇÃO !" error="APENAS VALORES ENTRE 0 E 2424" promptTitle="ATENÇÃO !" prompt="VALORES ENTRE 0 E 2424" sqref="C7" xr:uid="{84C0DDD8-08EE-4803-AD84-1E271C024376}">
      <formula1>0</formula1>
      <formula2>2424</formula2>
    </dataValidation>
    <dataValidation type="decimal" allowBlank="1" showInputMessage="1" showErrorMessage="1" errorTitle="ATENÇÃO ! " error="APENAS VALORES ENTRE 0 E 2400" promptTitle="ATENÇÃO!" prompt="VALORES ENTRE 0 E 2400" sqref="C8" xr:uid="{93107C0F-5C19-439C-8884-4EC30D2DBFF4}">
      <formula1>0</formula1>
      <formula2>2400</formula2>
    </dataValidation>
    <dataValidation type="decimal" allowBlank="1" showInputMessage="1" showErrorMessage="1" errorTitle="ATENÇÃO!" error="APENAS VALORES ENTRE 0 E 2200" promptTitle="ATENÇÃO!" prompt="APENAS VALORES ENTRE 0 E 200" sqref="C9" xr:uid="{5932B69F-FA63-4F8A-935D-3ECC31931123}">
      <formula1>0</formula1>
      <formula2>2200</formula2>
    </dataValidation>
  </dataValidations>
  <pageMargins left="0.7" right="0.7" top="0.75" bottom="0.75" header="0.3" footer="0.3"/>
  <pageSetup paperSize="9" orientation="portrait" horizontalDpi="300" verticalDpi="300" r:id="rId1"/>
  <ignoredErrors>
    <ignoredError sqref="F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BB8A9-AB9D-4D4D-8E1D-C8B0F166983C}">
  <dimension ref="A1:E31"/>
  <sheetViews>
    <sheetView workbookViewId="0">
      <selection sqref="A1:E31"/>
    </sheetView>
  </sheetViews>
  <sheetFormatPr defaultRowHeight="15" x14ac:dyDescent="0.25"/>
  <cols>
    <col min="4" max="4" width="17.42578125" customWidth="1"/>
    <col min="5" max="5" width="16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C 322-326'!C3</f>
        <v>2800</v>
      </c>
    </row>
    <row r="2" spans="1:5" x14ac:dyDescent="0.25">
      <c r="A2">
        <v>0</v>
      </c>
      <c r="B2">
        <v>132</v>
      </c>
      <c r="D2" t="s">
        <v>3</v>
      </c>
      <c r="E2">
        <f ca="1">FORECAST(E1,OFFSET(B2:B100,MATCH(E1,A2:A100,1)-1,0,2),OFFSET(A2:A100,MATCH(E1,A2:A100,1)-1,0,2))</f>
        <v>22491</v>
      </c>
    </row>
    <row r="3" spans="1:5" x14ac:dyDescent="0.25">
      <c r="A3">
        <v>100</v>
      </c>
      <c r="B3">
        <v>908</v>
      </c>
    </row>
    <row r="4" spans="1:5" x14ac:dyDescent="0.25">
      <c r="A4">
        <v>200</v>
      </c>
      <c r="B4">
        <v>1686</v>
      </c>
    </row>
    <row r="5" spans="1:5" x14ac:dyDescent="0.25">
      <c r="A5">
        <v>300</v>
      </c>
      <c r="B5">
        <v>2466</v>
      </c>
    </row>
    <row r="6" spans="1:5" x14ac:dyDescent="0.25">
      <c r="A6">
        <v>400</v>
      </c>
      <c r="B6">
        <v>3247</v>
      </c>
    </row>
    <row r="7" spans="1:5" x14ac:dyDescent="0.25">
      <c r="A7">
        <v>500</v>
      </c>
      <c r="B7">
        <v>4031</v>
      </c>
    </row>
    <row r="8" spans="1:5" x14ac:dyDescent="0.25">
      <c r="A8">
        <v>600</v>
      </c>
      <c r="B8">
        <v>4816</v>
      </c>
    </row>
    <row r="9" spans="1:5" x14ac:dyDescent="0.25">
      <c r="A9">
        <v>700</v>
      </c>
      <c r="B9">
        <v>5603</v>
      </c>
    </row>
    <row r="10" spans="1:5" x14ac:dyDescent="0.25">
      <c r="A10">
        <v>800</v>
      </c>
      <c r="B10">
        <v>6392</v>
      </c>
    </row>
    <row r="11" spans="1:5" x14ac:dyDescent="0.25">
      <c r="A11">
        <v>900</v>
      </c>
      <c r="B11">
        <v>7182</v>
      </c>
    </row>
    <row r="12" spans="1:5" x14ac:dyDescent="0.25">
      <c r="A12">
        <v>1000</v>
      </c>
      <c r="B12">
        <v>7975</v>
      </c>
    </row>
    <row r="13" spans="1:5" x14ac:dyDescent="0.25">
      <c r="A13">
        <v>1100</v>
      </c>
      <c r="B13">
        <v>8769</v>
      </c>
    </row>
    <row r="14" spans="1:5" x14ac:dyDescent="0.25">
      <c r="A14">
        <v>1200</v>
      </c>
      <c r="B14">
        <v>9565</v>
      </c>
    </row>
    <row r="15" spans="1:5" x14ac:dyDescent="0.25">
      <c r="A15">
        <v>1300</v>
      </c>
      <c r="B15">
        <v>10363</v>
      </c>
    </row>
    <row r="16" spans="1:5" x14ac:dyDescent="0.25">
      <c r="A16">
        <v>1400</v>
      </c>
      <c r="B16">
        <v>11162</v>
      </c>
    </row>
    <row r="17" spans="1:2" x14ac:dyDescent="0.25">
      <c r="A17">
        <v>1500</v>
      </c>
      <c r="B17">
        <v>11964</v>
      </c>
    </row>
    <row r="18" spans="1:2" x14ac:dyDescent="0.25">
      <c r="A18">
        <v>1600</v>
      </c>
      <c r="B18">
        <v>12767</v>
      </c>
    </row>
    <row r="19" spans="1:2" x14ac:dyDescent="0.25">
      <c r="A19">
        <v>1700</v>
      </c>
      <c r="B19">
        <v>13572</v>
      </c>
    </row>
    <row r="20" spans="1:2" x14ac:dyDescent="0.25">
      <c r="A20">
        <v>1800</v>
      </c>
      <c r="B20">
        <v>14379</v>
      </c>
    </row>
    <row r="21" spans="1:2" x14ac:dyDescent="0.25">
      <c r="A21">
        <v>1900</v>
      </c>
      <c r="B21">
        <v>15187</v>
      </c>
    </row>
    <row r="22" spans="1:2" x14ac:dyDescent="0.25">
      <c r="A22">
        <v>2000</v>
      </c>
      <c r="B22">
        <v>15998</v>
      </c>
    </row>
    <row r="23" spans="1:2" x14ac:dyDescent="0.25">
      <c r="A23">
        <v>2100</v>
      </c>
      <c r="B23">
        <v>16810</v>
      </c>
    </row>
    <row r="24" spans="1:2" x14ac:dyDescent="0.25">
      <c r="A24">
        <v>2200</v>
      </c>
      <c r="B24">
        <v>17623</v>
      </c>
    </row>
    <row r="25" spans="1:2" x14ac:dyDescent="0.25">
      <c r="A25">
        <v>2300</v>
      </c>
      <c r="B25">
        <v>18436</v>
      </c>
    </row>
    <row r="26" spans="1:2" x14ac:dyDescent="0.25">
      <c r="A26">
        <v>2400</v>
      </c>
      <c r="B26">
        <v>19249</v>
      </c>
    </row>
    <row r="27" spans="1:2" x14ac:dyDescent="0.25">
      <c r="A27">
        <v>2500</v>
      </c>
      <c r="B27">
        <v>20062</v>
      </c>
    </row>
    <row r="28" spans="1:2" x14ac:dyDescent="0.25">
      <c r="A28">
        <v>2600</v>
      </c>
      <c r="B28">
        <v>20875</v>
      </c>
    </row>
    <row r="29" spans="1:2" x14ac:dyDescent="0.25">
      <c r="A29">
        <v>2700</v>
      </c>
      <c r="B29">
        <v>21688</v>
      </c>
    </row>
    <row r="30" spans="1:2" x14ac:dyDescent="0.25">
      <c r="A30">
        <v>2800</v>
      </c>
      <c r="B30">
        <v>22491</v>
      </c>
    </row>
    <row r="31" spans="1:2" x14ac:dyDescent="0.25">
      <c r="A31">
        <v>2900</v>
      </c>
      <c r="B31">
        <v>22623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C9F7-1D0B-4AFD-8598-B9A371547C14}">
  <dimension ref="A1:E31"/>
  <sheetViews>
    <sheetView workbookViewId="0">
      <selection sqref="A1:E31"/>
    </sheetView>
  </sheetViews>
  <sheetFormatPr defaultRowHeight="15" x14ac:dyDescent="0.25"/>
  <cols>
    <col min="4" max="4" width="12.4257812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C 322-326'!C4</f>
        <v>2100</v>
      </c>
    </row>
    <row r="2" spans="1:5" x14ac:dyDescent="0.25">
      <c r="A2">
        <v>0</v>
      </c>
      <c r="B2">
        <v>132</v>
      </c>
      <c r="D2" t="s">
        <v>3</v>
      </c>
      <c r="E2">
        <f ca="1">FORECAST(E1,OFFSET(B2:B100,MATCH(E1,A2:A100,1)-1,0,2),OFFSET(A2:A100,MATCH(E1,A2:A100,1)-1,0,2))</f>
        <v>16810</v>
      </c>
    </row>
    <row r="3" spans="1:5" x14ac:dyDescent="0.25">
      <c r="A3">
        <v>100</v>
      </c>
      <c r="B3">
        <v>908</v>
      </c>
    </row>
    <row r="4" spans="1:5" x14ac:dyDescent="0.25">
      <c r="A4">
        <v>200</v>
      </c>
      <c r="B4">
        <v>1686</v>
      </c>
    </row>
    <row r="5" spans="1:5" x14ac:dyDescent="0.25">
      <c r="A5">
        <v>300</v>
      </c>
      <c r="B5">
        <v>2466</v>
      </c>
    </row>
    <row r="6" spans="1:5" x14ac:dyDescent="0.25">
      <c r="A6">
        <v>400</v>
      </c>
      <c r="B6">
        <v>3247</v>
      </c>
    </row>
    <row r="7" spans="1:5" x14ac:dyDescent="0.25">
      <c r="A7">
        <v>500</v>
      </c>
      <c r="B7">
        <v>4031</v>
      </c>
    </row>
    <row r="8" spans="1:5" x14ac:dyDescent="0.25">
      <c r="A8">
        <v>600</v>
      </c>
      <c r="B8">
        <v>4816</v>
      </c>
    </row>
    <row r="9" spans="1:5" x14ac:dyDescent="0.25">
      <c r="A9">
        <v>700</v>
      </c>
      <c r="B9">
        <v>5603</v>
      </c>
    </row>
    <row r="10" spans="1:5" x14ac:dyDescent="0.25">
      <c r="A10">
        <v>800</v>
      </c>
      <c r="B10">
        <v>6392</v>
      </c>
    </row>
    <row r="11" spans="1:5" x14ac:dyDescent="0.25">
      <c r="A11">
        <v>900</v>
      </c>
      <c r="B11">
        <v>7182</v>
      </c>
    </row>
    <row r="12" spans="1:5" x14ac:dyDescent="0.25">
      <c r="A12">
        <v>1000</v>
      </c>
      <c r="B12">
        <v>7975</v>
      </c>
    </row>
    <row r="13" spans="1:5" x14ac:dyDescent="0.25">
      <c r="A13">
        <v>1100</v>
      </c>
      <c r="B13">
        <v>8769</v>
      </c>
    </row>
    <row r="14" spans="1:5" x14ac:dyDescent="0.25">
      <c r="A14">
        <v>1200</v>
      </c>
      <c r="B14">
        <v>9565</v>
      </c>
    </row>
    <row r="15" spans="1:5" x14ac:dyDescent="0.25">
      <c r="A15">
        <v>1300</v>
      </c>
      <c r="B15">
        <v>10363</v>
      </c>
    </row>
    <row r="16" spans="1:5" x14ac:dyDescent="0.25">
      <c r="A16">
        <v>1400</v>
      </c>
      <c r="B16">
        <v>11162</v>
      </c>
    </row>
    <row r="17" spans="1:2" x14ac:dyDescent="0.25">
      <c r="A17">
        <v>1500</v>
      </c>
      <c r="B17">
        <v>11964</v>
      </c>
    </row>
    <row r="18" spans="1:2" x14ac:dyDescent="0.25">
      <c r="A18">
        <v>1600</v>
      </c>
      <c r="B18">
        <v>12767</v>
      </c>
    </row>
    <row r="19" spans="1:2" x14ac:dyDescent="0.25">
      <c r="A19">
        <v>1700</v>
      </c>
      <c r="B19">
        <v>13572</v>
      </c>
    </row>
    <row r="20" spans="1:2" x14ac:dyDescent="0.25">
      <c r="A20">
        <v>1800</v>
      </c>
      <c r="B20">
        <v>14379</v>
      </c>
    </row>
    <row r="21" spans="1:2" x14ac:dyDescent="0.25">
      <c r="A21">
        <v>1900</v>
      </c>
      <c r="B21">
        <v>15187</v>
      </c>
    </row>
    <row r="22" spans="1:2" x14ac:dyDescent="0.25">
      <c r="A22">
        <v>2000</v>
      </c>
      <c r="B22">
        <v>15998</v>
      </c>
    </row>
    <row r="23" spans="1:2" x14ac:dyDescent="0.25">
      <c r="A23">
        <v>2100</v>
      </c>
      <c r="B23">
        <v>16810</v>
      </c>
    </row>
    <row r="24" spans="1:2" x14ac:dyDescent="0.25">
      <c r="A24">
        <v>2200</v>
      </c>
      <c r="B24">
        <v>17623</v>
      </c>
    </row>
    <row r="25" spans="1:2" x14ac:dyDescent="0.25">
      <c r="A25">
        <v>2300</v>
      </c>
      <c r="B25">
        <v>18436</v>
      </c>
    </row>
    <row r="26" spans="1:2" x14ac:dyDescent="0.25">
      <c r="A26">
        <v>2400</v>
      </c>
      <c r="B26">
        <v>19249</v>
      </c>
    </row>
    <row r="27" spans="1:2" x14ac:dyDescent="0.25">
      <c r="A27">
        <v>2500</v>
      </c>
      <c r="B27">
        <v>20062</v>
      </c>
    </row>
    <row r="28" spans="1:2" x14ac:dyDescent="0.25">
      <c r="A28">
        <v>2600</v>
      </c>
      <c r="B28">
        <v>20875</v>
      </c>
    </row>
    <row r="29" spans="1:2" x14ac:dyDescent="0.25">
      <c r="A29">
        <v>2700</v>
      </c>
      <c r="B29">
        <v>21688</v>
      </c>
    </row>
    <row r="30" spans="1:2" x14ac:dyDescent="0.25">
      <c r="A30">
        <v>2800</v>
      </c>
      <c r="B30">
        <v>22491</v>
      </c>
    </row>
    <row r="31" spans="1:2" x14ac:dyDescent="0.25">
      <c r="A31">
        <v>2848</v>
      </c>
      <c r="B31">
        <v>22623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6DA3-45EC-4D73-AA25-5B92E9A217A6}">
  <dimension ref="A1:E25"/>
  <sheetViews>
    <sheetView workbookViewId="0">
      <selection sqref="A1:E25"/>
    </sheetView>
  </sheetViews>
  <sheetFormatPr defaultRowHeight="15" x14ac:dyDescent="0.25"/>
  <cols>
    <col min="4" max="4" width="14.710937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C 322-326'!C5</f>
        <v>2100</v>
      </c>
    </row>
    <row r="2" spans="1:5" x14ac:dyDescent="0.25">
      <c r="A2">
        <v>0</v>
      </c>
      <c r="B2">
        <v>4</v>
      </c>
      <c r="D2" t="s">
        <v>3</v>
      </c>
      <c r="E2">
        <f ca="1">FORECAST(E1,OFFSET(B2:B100,MATCH(E1,A2:A100,1)-1,0,2),OFFSET(A2:A100,MATCH(E1,A2:A100,1)-1,0,2))</f>
        <v>18835</v>
      </c>
    </row>
    <row r="3" spans="1:5" x14ac:dyDescent="0.25">
      <c r="A3">
        <v>100</v>
      </c>
      <c r="B3">
        <v>25</v>
      </c>
    </row>
    <row r="4" spans="1:5" x14ac:dyDescent="0.25">
      <c r="A4">
        <v>200</v>
      </c>
      <c r="B4">
        <v>68</v>
      </c>
    </row>
    <row r="5" spans="1:5" x14ac:dyDescent="0.25">
      <c r="A5">
        <v>300</v>
      </c>
      <c r="B5">
        <v>143</v>
      </c>
    </row>
    <row r="6" spans="1:5" x14ac:dyDescent="0.25">
      <c r="A6">
        <v>400</v>
      </c>
      <c r="B6">
        <v>256</v>
      </c>
    </row>
    <row r="7" spans="1:5" x14ac:dyDescent="0.25">
      <c r="A7">
        <v>500</v>
      </c>
      <c r="B7">
        <v>418</v>
      </c>
    </row>
    <row r="8" spans="1:5" x14ac:dyDescent="0.25">
      <c r="A8">
        <v>600</v>
      </c>
      <c r="B8">
        <v>642</v>
      </c>
    </row>
    <row r="9" spans="1:5" x14ac:dyDescent="0.25">
      <c r="A9">
        <v>700</v>
      </c>
      <c r="B9">
        <v>964</v>
      </c>
    </row>
    <row r="10" spans="1:5" x14ac:dyDescent="0.25">
      <c r="A10">
        <v>800</v>
      </c>
      <c r="B10">
        <v>1414</v>
      </c>
    </row>
    <row r="11" spans="1:5" x14ac:dyDescent="0.25">
      <c r="A11">
        <v>900</v>
      </c>
      <c r="B11">
        <v>2022</v>
      </c>
    </row>
    <row r="12" spans="1:5" x14ac:dyDescent="0.25">
      <c r="A12">
        <v>1000</v>
      </c>
      <c r="B12">
        <v>2816</v>
      </c>
    </row>
    <row r="13" spans="1:5" x14ac:dyDescent="0.25">
      <c r="A13">
        <v>1100</v>
      </c>
      <c r="B13">
        <v>3792</v>
      </c>
    </row>
    <row r="14" spans="1:5" x14ac:dyDescent="0.25">
      <c r="A14">
        <v>1200</v>
      </c>
      <c r="B14">
        <v>4934</v>
      </c>
    </row>
    <row r="15" spans="1:5" x14ac:dyDescent="0.25">
      <c r="A15">
        <v>1300</v>
      </c>
      <c r="B15">
        <v>6218</v>
      </c>
    </row>
    <row r="16" spans="1:5" x14ac:dyDescent="0.25">
      <c r="A16">
        <v>1400</v>
      </c>
      <c r="B16">
        <v>7615</v>
      </c>
    </row>
    <row r="17" spans="1:2" x14ac:dyDescent="0.25">
      <c r="A17">
        <v>1500</v>
      </c>
      <c r="B17">
        <v>9097</v>
      </c>
    </row>
    <row r="18" spans="1:2" x14ac:dyDescent="0.25">
      <c r="A18">
        <v>1600</v>
      </c>
      <c r="B18">
        <v>10644</v>
      </c>
    </row>
    <row r="19" spans="1:2" x14ac:dyDescent="0.25">
      <c r="A19">
        <v>1700</v>
      </c>
      <c r="B19">
        <v>12234</v>
      </c>
    </row>
    <row r="20" spans="1:2" x14ac:dyDescent="0.25">
      <c r="A20">
        <v>1800</v>
      </c>
      <c r="B20">
        <v>13853</v>
      </c>
    </row>
    <row r="21" spans="1:2" x14ac:dyDescent="0.25">
      <c r="A21">
        <v>1900</v>
      </c>
      <c r="B21">
        <v>15496</v>
      </c>
    </row>
    <row r="22" spans="1:2" x14ac:dyDescent="0.25">
      <c r="A22">
        <v>2000</v>
      </c>
      <c r="B22">
        <v>17158</v>
      </c>
    </row>
    <row r="23" spans="1:2" x14ac:dyDescent="0.25">
      <c r="A23">
        <v>2100</v>
      </c>
      <c r="B23">
        <v>18835</v>
      </c>
    </row>
    <row r="24" spans="1:2" x14ac:dyDescent="0.25">
      <c r="A24">
        <v>2200</v>
      </c>
      <c r="B24">
        <v>20524</v>
      </c>
    </row>
    <row r="25" spans="1:2" x14ac:dyDescent="0.25">
      <c r="A25">
        <v>2245</v>
      </c>
      <c r="B25">
        <v>21254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76D51-3228-4681-9A3A-2D75A2812538}">
  <dimension ref="A1:E27"/>
  <sheetViews>
    <sheetView workbookViewId="0">
      <selection sqref="A1:E27"/>
    </sheetView>
  </sheetViews>
  <sheetFormatPr defaultRowHeight="15" x14ac:dyDescent="0.25"/>
  <cols>
    <col min="4" max="5" width="16.710937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C 322-326'!C6</f>
        <v>2000</v>
      </c>
    </row>
    <row r="2" spans="1:5" x14ac:dyDescent="0.25">
      <c r="A2">
        <v>0</v>
      </c>
      <c r="B2">
        <v>2</v>
      </c>
      <c r="D2" t="s">
        <v>3</v>
      </c>
      <c r="E2">
        <f ca="1">FORECAST(E1,OFFSET(B2:B100,MATCH(E1,A2:A100,1)-1,0,2),OFFSET(A2:A100,MATCH(E1,A2:A100,1)-1,0,2))</f>
        <v>14180</v>
      </c>
    </row>
    <row r="3" spans="1:5" x14ac:dyDescent="0.25">
      <c r="A3">
        <v>100</v>
      </c>
      <c r="B3">
        <v>18</v>
      </c>
    </row>
    <row r="4" spans="1:5" x14ac:dyDescent="0.25">
      <c r="A4">
        <v>200</v>
      </c>
      <c r="B4">
        <v>52</v>
      </c>
    </row>
    <row r="5" spans="1:5" x14ac:dyDescent="0.25">
      <c r="A5">
        <v>300</v>
      </c>
      <c r="B5">
        <v>119</v>
      </c>
    </row>
    <row r="6" spans="1:5" x14ac:dyDescent="0.25">
      <c r="A6">
        <v>400</v>
      </c>
      <c r="B6">
        <v>220</v>
      </c>
    </row>
    <row r="7" spans="1:5" x14ac:dyDescent="0.25">
      <c r="A7">
        <v>500</v>
      </c>
      <c r="B7">
        <v>369</v>
      </c>
    </row>
    <row r="8" spans="1:5" x14ac:dyDescent="0.25">
      <c r="A8">
        <v>600</v>
      </c>
      <c r="B8">
        <v>569</v>
      </c>
    </row>
    <row r="9" spans="1:5" x14ac:dyDescent="0.25">
      <c r="A9">
        <v>700</v>
      </c>
      <c r="B9">
        <v>833</v>
      </c>
    </row>
    <row r="10" spans="1:5" x14ac:dyDescent="0.25">
      <c r="A10">
        <v>800</v>
      </c>
      <c r="B10">
        <v>1165</v>
      </c>
    </row>
    <row r="11" spans="1:5" x14ac:dyDescent="0.25">
      <c r="A11">
        <v>900</v>
      </c>
      <c r="B11">
        <v>1574</v>
      </c>
    </row>
    <row r="12" spans="1:5" x14ac:dyDescent="0.25">
      <c r="A12">
        <v>1000</v>
      </c>
      <c r="B12">
        <v>2067</v>
      </c>
    </row>
    <row r="13" spans="1:5" x14ac:dyDescent="0.25">
      <c r="A13">
        <v>1100</v>
      </c>
      <c r="B13">
        <v>2662</v>
      </c>
    </row>
    <row r="14" spans="1:5" x14ac:dyDescent="0.25">
      <c r="A14">
        <v>1200</v>
      </c>
      <c r="B14">
        <v>3407</v>
      </c>
    </row>
    <row r="15" spans="1:5" x14ac:dyDescent="0.25">
      <c r="A15">
        <v>1300</v>
      </c>
      <c r="B15">
        <v>4310</v>
      </c>
    </row>
    <row r="16" spans="1:5" x14ac:dyDescent="0.25">
      <c r="A16">
        <v>1400</v>
      </c>
      <c r="B16">
        <v>5374</v>
      </c>
    </row>
    <row r="17" spans="1:2" x14ac:dyDescent="0.25">
      <c r="A17">
        <v>1500</v>
      </c>
      <c r="B17">
        <v>6595</v>
      </c>
    </row>
    <row r="18" spans="1:2" x14ac:dyDescent="0.25">
      <c r="A18">
        <v>1600</v>
      </c>
      <c r="B18">
        <v>7949</v>
      </c>
    </row>
    <row r="19" spans="1:2" x14ac:dyDescent="0.25">
      <c r="A19">
        <v>1700</v>
      </c>
      <c r="B19">
        <v>9414</v>
      </c>
    </row>
    <row r="20" spans="1:2" x14ac:dyDescent="0.25">
      <c r="A20">
        <v>1800</v>
      </c>
      <c r="B20">
        <v>10960</v>
      </c>
    </row>
    <row r="21" spans="1:2" x14ac:dyDescent="0.25">
      <c r="A21">
        <v>1900</v>
      </c>
      <c r="B21">
        <v>12556</v>
      </c>
    </row>
    <row r="22" spans="1:2" x14ac:dyDescent="0.25">
      <c r="A22">
        <v>2000</v>
      </c>
      <c r="B22">
        <v>14180</v>
      </c>
    </row>
    <row r="23" spans="1:2" x14ac:dyDescent="0.25">
      <c r="A23">
        <v>2100</v>
      </c>
      <c r="B23">
        <v>15827</v>
      </c>
    </row>
    <row r="24" spans="1:2" x14ac:dyDescent="0.25">
      <c r="A24">
        <v>2200</v>
      </c>
      <c r="B24">
        <v>17493</v>
      </c>
    </row>
    <row r="25" spans="1:2" x14ac:dyDescent="0.25">
      <c r="A25">
        <v>2300</v>
      </c>
      <c r="B25">
        <v>19173</v>
      </c>
    </row>
    <row r="26" spans="1:2" x14ac:dyDescent="0.25">
      <c r="A26">
        <v>2400</v>
      </c>
      <c r="B26">
        <v>20863</v>
      </c>
    </row>
    <row r="27" spans="1:2" x14ac:dyDescent="0.25">
      <c r="A27">
        <v>2424</v>
      </c>
      <c r="B27">
        <v>21254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E366-51BA-430C-AF2D-53218FEB3F51}">
  <dimension ref="A1:E24"/>
  <sheetViews>
    <sheetView workbookViewId="0">
      <selection sqref="A1:E24"/>
    </sheetView>
  </sheetViews>
  <sheetFormatPr defaultRowHeight="15" x14ac:dyDescent="0.25"/>
  <cols>
    <col min="4" max="4" width="13.2851562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C 322-326'!C7</f>
        <v>2000</v>
      </c>
    </row>
    <row r="2" spans="1:5" x14ac:dyDescent="0.25">
      <c r="A2">
        <v>0</v>
      </c>
      <c r="B2">
        <v>19</v>
      </c>
      <c r="D2" t="s">
        <v>3</v>
      </c>
      <c r="E2">
        <f ca="1">FORECAST(E1,OFFSET(B2:B100,MATCH(E1,A2:A100,1)-1,0,2),OFFSET(A2:A100,MATCH(E1,A2:A100,1)-1,0,2))</f>
        <v>25966</v>
      </c>
    </row>
    <row r="3" spans="1:5" x14ac:dyDescent="0.25">
      <c r="A3">
        <v>100</v>
      </c>
      <c r="B3">
        <v>162</v>
      </c>
    </row>
    <row r="4" spans="1:5" x14ac:dyDescent="0.25">
      <c r="A4">
        <v>200</v>
      </c>
      <c r="B4">
        <v>492</v>
      </c>
    </row>
    <row r="5" spans="1:5" x14ac:dyDescent="0.25">
      <c r="A5">
        <v>300</v>
      </c>
      <c r="B5">
        <v>1026</v>
      </c>
    </row>
    <row r="6" spans="1:5" x14ac:dyDescent="0.25">
      <c r="A6">
        <v>400</v>
      </c>
      <c r="B6">
        <v>1754</v>
      </c>
    </row>
    <row r="7" spans="1:5" x14ac:dyDescent="0.25">
      <c r="A7">
        <v>500</v>
      </c>
      <c r="B7">
        <v>2676</v>
      </c>
    </row>
    <row r="8" spans="1:5" x14ac:dyDescent="0.25">
      <c r="A8">
        <v>600</v>
      </c>
      <c r="B8">
        <v>3784</v>
      </c>
    </row>
    <row r="9" spans="1:5" x14ac:dyDescent="0.25">
      <c r="A9">
        <v>700</v>
      </c>
      <c r="B9">
        <v>5010</v>
      </c>
    </row>
    <row r="10" spans="1:5" x14ac:dyDescent="0.25">
      <c r="A10">
        <v>800</v>
      </c>
      <c r="B10">
        <v>6308</v>
      </c>
    </row>
    <row r="11" spans="1:5" x14ac:dyDescent="0.25">
      <c r="A11">
        <v>900</v>
      </c>
      <c r="B11">
        <v>7660</v>
      </c>
    </row>
    <row r="12" spans="1:5" x14ac:dyDescent="0.25">
      <c r="A12">
        <v>1000</v>
      </c>
      <c r="B12">
        <v>9053</v>
      </c>
    </row>
    <row r="13" spans="1:5" x14ac:dyDescent="0.25">
      <c r="A13">
        <v>1100</v>
      </c>
      <c r="B13">
        <v>10479</v>
      </c>
    </row>
    <row r="14" spans="1:5" x14ac:dyDescent="0.25">
      <c r="A14">
        <v>1200</v>
      </c>
      <c r="B14">
        <v>11937</v>
      </c>
    </row>
    <row r="15" spans="1:5" x14ac:dyDescent="0.25">
      <c r="A15">
        <v>1300</v>
      </c>
      <c r="B15">
        <v>13427</v>
      </c>
    </row>
    <row r="16" spans="1:5" x14ac:dyDescent="0.25">
      <c r="A16">
        <v>1400</v>
      </c>
      <c r="B16">
        <v>14948</v>
      </c>
    </row>
    <row r="17" spans="1:2" x14ac:dyDescent="0.25">
      <c r="A17">
        <v>1500</v>
      </c>
      <c r="B17">
        <v>16499</v>
      </c>
    </row>
    <row r="18" spans="1:2" x14ac:dyDescent="0.25">
      <c r="A18">
        <v>1600</v>
      </c>
      <c r="B18">
        <v>18071</v>
      </c>
    </row>
    <row r="19" spans="1:2" x14ac:dyDescent="0.25">
      <c r="A19">
        <v>1700</v>
      </c>
      <c r="B19">
        <v>19710</v>
      </c>
    </row>
    <row r="20" spans="1:2" x14ac:dyDescent="0.25">
      <c r="A20">
        <v>1800</v>
      </c>
      <c r="B20">
        <v>21593</v>
      </c>
    </row>
    <row r="21" spans="1:2" x14ac:dyDescent="0.25">
      <c r="A21">
        <v>1900</v>
      </c>
      <c r="B21">
        <v>23711</v>
      </c>
    </row>
    <row r="22" spans="1:2" x14ac:dyDescent="0.25">
      <c r="A22">
        <v>2000</v>
      </c>
      <c r="B22">
        <v>25966</v>
      </c>
    </row>
    <row r="23" spans="1:2" x14ac:dyDescent="0.25">
      <c r="A23">
        <v>2100</v>
      </c>
      <c r="B23">
        <v>28304</v>
      </c>
    </row>
    <row r="24" spans="1:2" x14ac:dyDescent="0.25">
      <c r="A24">
        <v>2182</v>
      </c>
      <c r="B24">
        <v>30231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6B378-C15C-4CE4-B82A-5D6489E4AD4B}">
  <dimension ref="A1:E26"/>
  <sheetViews>
    <sheetView workbookViewId="0">
      <selection sqref="A1:E26"/>
    </sheetView>
  </sheetViews>
  <sheetFormatPr defaultRowHeight="15" x14ac:dyDescent="0.25"/>
  <cols>
    <col min="4" max="5" width="13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C 322-326'!C8</f>
        <v>2000</v>
      </c>
    </row>
    <row r="2" spans="1:5" x14ac:dyDescent="0.25">
      <c r="A2">
        <v>0</v>
      </c>
      <c r="B2">
        <v>0</v>
      </c>
      <c r="D2" t="s">
        <v>3</v>
      </c>
      <c r="E2">
        <f ca="1">FORECAST(E1,OFFSET(B2:B100,MATCH(E1,A2:A100,1)-1,0,2),OFFSET(A2:A100,MATCH(E1,A2:A100,1)-1,0,2))</f>
        <v>35026</v>
      </c>
    </row>
    <row r="3" spans="1:5" x14ac:dyDescent="0.25">
      <c r="A3">
        <v>100</v>
      </c>
      <c r="B3">
        <v>215</v>
      </c>
    </row>
    <row r="4" spans="1:5" x14ac:dyDescent="0.25">
      <c r="A4">
        <v>200</v>
      </c>
      <c r="B4">
        <v>731</v>
      </c>
    </row>
    <row r="5" spans="1:5" x14ac:dyDescent="0.25">
      <c r="A5">
        <v>300</v>
      </c>
      <c r="B5">
        <v>1533</v>
      </c>
    </row>
    <row r="6" spans="1:5" x14ac:dyDescent="0.25">
      <c r="A6">
        <v>400</v>
      </c>
      <c r="B6">
        <v>2641</v>
      </c>
    </row>
    <row r="7" spans="1:5" x14ac:dyDescent="0.25">
      <c r="A7">
        <v>500</v>
      </c>
      <c r="B7">
        <v>4035</v>
      </c>
    </row>
    <row r="8" spans="1:5" x14ac:dyDescent="0.25">
      <c r="A8">
        <v>600</v>
      </c>
      <c r="B8">
        <v>5573</v>
      </c>
    </row>
    <row r="9" spans="1:5" x14ac:dyDescent="0.25">
      <c r="A9">
        <v>700</v>
      </c>
      <c r="B9">
        <v>7162</v>
      </c>
    </row>
    <row r="10" spans="1:5" x14ac:dyDescent="0.25">
      <c r="A10">
        <v>800</v>
      </c>
      <c r="B10">
        <v>8772</v>
      </c>
    </row>
    <row r="11" spans="1:5" x14ac:dyDescent="0.25">
      <c r="A11">
        <v>900</v>
      </c>
      <c r="B11">
        <v>10398</v>
      </c>
    </row>
    <row r="12" spans="1:5" x14ac:dyDescent="0.25">
      <c r="A12">
        <v>1000</v>
      </c>
      <c r="B12">
        <v>12137</v>
      </c>
    </row>
    <row r="13" spans="1:5" x14ac:dyDescent="0.25">
      <c r="A13">
        <v>1100</v>
      </c>
      <c r="B13">
        <v>14022</v>
      </c>
    </row>
    <row r="14" spans="1:5" x14ac:dyDescent="0.25">
      <c r="A14">
        <v>1200</v>
      </c>
      <c r="B14">
        <v>16066</v>
      </c>
    </row>
    <row r="15" spans="1:5" x14ac:dyDescent="0.25">
      <c r="A15">
        <v>1300</v>
      </c>
      <c r="B15">
        <v>18223</v>
      </c>
    </row>
    <row r="16" spans="1:5" x14ac:dyDescent="0.25">
      <c r="A16">
        <v>1400</v>
      </c>
      <c r="B16">
        <v>20492</v>
      </c>
    </row>
    <row r="17" spans="1:2" x14ac:dyDescent="0.25">
      <c r="A17">
        <v>1500</v>
      </c>
      <c r="B17">
        <v>22838</v>
      </c>
    </row>
    <row r="18" spans="1:2" x14ac:dyDescent="0.25">
      <c r="A18">
        <v>1600</v>
      </c>
      <c r="B18">
        <v>25242</v>
      </c>
    </row>
    <row r="19" spans="1:2" x14ac:dyDescent="0.25">
      <c r="A19">
        <v>1700</v>
      </c>
      <c r="B19">
        <v>27680</v>
      </c>
    </row>
    <row r="20" spans="1:2" x14ac:dyDescent="0.25">
      <c r="A20">
        <v>1800</v>
      </c>
      <c r="B20">
        <v>30129</v>
      </c>
    </row>
    <row r="21" spans="1:2" x14ac:dyDescent="0.25">
      <c r="A21">
        <v>1900</v>
      </c>
      <c r="B21">
        <v>32578</v>
      </c>
    </row>
    <row r="22" spans="1:2" x14ac:dyDescent="0.25">
      <c r="A22">
        <v>2000</v>
      </c>
      <c r="B22">
        <v>35026</v>
      </c>
    </row>
    <row r="23" spans="1:2" x14ac:dyDescent="0.25">
      <c r="A23">
        <v>2100</v>
      </c>
      <c r="B23">
        <v>37475</v>
      </c>
    </row>
    <row r="24" spans="1:2" x14ac:dyDescent="0.25">
      <c r="A24">
        <v>2200</v>
      </c>
      <c r="B24">
        <v>39924</v>
      </c>
    </row>
    <row r="25" spans="1:2" x14ac:dyDescent="0.25">
      <c r="A25">
        <v>2300</v>
      </c>
      <c r="B25">
        <v>42373</v>
      </c>
    </row>
    <row r="26" spans="1:2" x14ac:dyDescent="0.25">
      <c r="A26">
        <v>2400</v>
      </c>
      <c r="B26">
        <v>44451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99784-725A-4AF8-93D8-3A9B0CF4B767}">
  <dimension ref="A1:E24"/>
  <sheetViews>
    <sheetView workbookViewId="0">
      <selection sqref="A1:E24"/>
    </sheetView>
  </sheetViews>
  <sheetFormatPr defaultRowHeight="15" x14ac:dyDescent="0.25"/>
  <cols>
    <col min="4" max="4" width="15.570312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C 322-326'!C9</f>
        <v>2000</v>
      </c>
    </row>
    <row r="2" spans="1:5" x14ac:dyDescent="0.25">
      <c r="A2">
        <v>0</v>
      </c>
      <c r="B2">
        <v>19</v>
      </c>
      <c r="D2" t="s">
        <v>3</v>
      </c>
      <c r="E2">
        <f ca="1">FORECAST(E1,OFFSET(B2:B100,MATCH(E1,A2:A100,1)-1,0,2),OFFSET(A2:A100,MATCH(E1,A2:A100,1)-1,0,2))</f>
        <v>29225</v>
      </c>
    </row>
    <row r="3" spans="1:5" x14ac:dyDescent="0.25">
      <c r="A3">
        <v>100</v>
      </c>
      <c r="B3">
        <v>162</v>
      </c>
    </row>
    <row r="4" spans="1:5" x14ac:dyDescent="0.25">
      <c r="A4">
        <v>200</v>
      </c>
      <c r="B4">
        <v>492</v>
      </c>
    </row>
    <row r="5" spans="1:5" x14ac:dyDescent="0.25">
      <c r="A5">
        <v>300</v>
      </c>
      <c r="B5">
        <v>1026</v>
      </c>
    </row>
    <row r="6" spans="1:5" x14ac:dyDescent="0.25">
      <c r="A6">
        <v>400</v>
      </c>
      <c r="B6">
        <v>1761</v>
      </c>
    </row>
    <row r="7" spans="1:5" x14ac:dyDescent="0.25">
      <c r="A7">
        <v>500</v>
      </c>
      <c r="B7">
        <v>2703</v>
      </c>
    </row>
    <row r="8" spans="1:5" x14ac:dyDescent="0.25">
      <c r="A8">
        <v>600</v>
      </c>
      <c r="B8">
        <v>3859</v>
      </c>
    </row>
    <row r="9" spans="1:5" x14ac:dyDescent="0.25">
      <c r="A9">
        <v>700</v>
      </c>
      <c r="B9">
        <v>5170</v>
      </c>
    </row>
    <row r="10" spans="1:5" x14ac:dyDescent="0.25">
      <c r="A10">
        <v>800</v>
      </c>
      <c r="B10">
        <v>6591</v>
      </c>
    </row>
    <row r="11" spans="1:5" x14ac:dyDescent="0.25">
      <c r="A11">
        <v>900</v>
      </c>
      <c r="B11">
        <v>8102</v>
      </c>
    </row>
    <row r="12" spans="1:5" x14ac:dyDescent="0.25">
      <c r="A12">
        <v>1000</v>
      </c>
      <c r="B12">
        <v>9683</v>
      </c>
    </row>
    <row r="13" spans="1:5" x14ac:dyDescent="0.25">
      <c r="A13">
        <v>1100</v>
      </c>
      <c r="B13">
        <v>11321</v>
      </c>
    </row>
    <row r="14" spans="1:5" x14ac:dyDescent="0.25">
      <c r="A14">
        <v>1200</v>
      </c>
      <c r="B14">
        <v>13004</v>
      </c>
    </row>
    <row r="15" spans="1:5" x14ac:dyDescent="0.25">
      <c r="A15">
        <v>1300</v>
      </c>
      <c r="B15">
        <v>14728</v>
      </c>
    </row>
    <row r="16" spans="1:5" x14ac:dyDescent="0.25">
      <c r="A16">
        <v>1400</v>
      </c>
      <c r="B16">
        <v>16492</v>
      </c>
    </row>
    <row r="17" spans="1:2" x14ac:dyDescent="0.25">
      <c r="A17">
        <v>1500</v>
      </c>
      <c r="B17">
        <v>18295</v>
      </c>
    </row>
    <row r="18" spans="1:2" x14ac:dyDescent="0.25">
      <c r="A18">
        <v>1600</v>
      </c>
      <c r="B18">
        <v>20125</v>
      </c>
    </row>
    <row r="19" spans="1:2" x14ac:dyDescent="0.25">
      <c r="A19">
        <v>1700</v>
      </c>
      <c r="B19">
        <v>22040</v>
      </c>
    </row>
    <row r="20" spans="1:2" x14ac:dyDescent="0.25">
      <c r="A20">
        <v>1800</v>
      </c>
      <c r="B20">
        <v>24222</v>
      </c>
    </row>
    <row r="21" spans="1:2" x14ac:dyDescent="0.25">
      <c r="A21">
        <v>1900</v>
      </c>
      <c r="B21">
        <v>26643</v>
      </c>
    </row>
    <row r="22" spans="1:2" x14ac:dyDescent="0.25">
      <c r="A22">
        <v>2000</v>
      </c>
      <c r="B22">
        <v>29225</v>
      </c>
    </row>
    <row r="23" spans="1:2" x14ac:dyDescent="0.25">
      <c r="A23">
        <v>2100</v>
      </c>
      <c r="B23">
        <v>31904</v>
      </c>
    </row>
    <row r="24" spans="1:2" x14ac:dyDescent="0.25">
      <c r="A24">
        <v>2200</v>
      </c>
      <c r="B24">
        <v>34110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AD23-1D21-4AC4-9784-CF3ED494DC26}">
  <dimension ref="A1:E31"/>
  <sheetViews>
    <sheetView workbookViewId="0">
      <selection sqref="A1:E31"/>
    </sheetView>
  </sheetViews>
  <sheetFormatPr defaultRowHeight="15" x14ac:dyDescent="0.25"/>
  <cols>
    <col min="4" max="4" width="14.85546875" customWidth="1"/>
  </cols>
  <sheetData>
    <row r="1" spans="1:5" x14ac:dyDescent="0.25">
      <c r="A1" t="s">
        <v>0</v>
      </c>
      <c r="B1" t="s">
        <v>1</v>
      </c>
      <c r="D1" t="s">
        <v>2</v>
      </c>
      <c r="E1">
        <f>'SONDAGEM CLASSE C 322-326'!C3</f>
        <v>2800</v>
      </c>
    </row>
    <row r="2" spans="1:5" x14ac:dyDescent="0.25">
      <c r="A2">
        <v>0</v>
      </c>
      <c r="B2">
        <v>159</v>
      </c>
      <c r="D2" t="s">
        <v>3</v>
      </c>
      <c r="E2">
        <f ca="1">FORECAST(E1,OFFSET(B2:B100,MATCH(E1,A2:A100,1)-1,0,2),OFFSET(A2:A100,MATCH(E1,A2:A100,1)-1,0,2))</f>
        <v>22516</v>
      </c>
    </row>
    <row r="3" spans="1:5" x14ac:dyDescent="0.25">
      <c r="A3">
        <v>100</v>
      </c>
      <c r="B3">
        <v>923</v>
      </c>
    </row>
    <row r="4" spans="1:5" x14ac:dyDescent="0.25">
      <c r="A4">
        <v>200</v>
      </c>
      <c r="B4">
        <v>1701</v>
      </c>
    </row>
    <row r="5" spans="1:5" x14ac:dyDescent="0.25">
      <c r="A5">
        <v>300</v>
      </c>
      <c r="B5">
        <v>2481</v>
      </c>
    </row>
    <row r="6" spans="1:5" x14ac:dyDescent="0.25">
      <c r="A6">
        <v>400</v>
      </c>
      <c r="B6">
        <v>3263</v>
      </c>
    </row>
    <row r="7" spans="1:5" x14ac:dyDescent="0.25">
      <c r="A7">
        <v>500</v>
      </c>
      <c r="B7">
        <v>4046</v>
      </c>
    </row>
    <row r="8" spans="1:5" x14ac:dyDescent="0.25">
      <c r="A8">
        <v>600</v>
      </c>
      <c r="B8">
        <v>4831</v>
      </c>
    </row>
    <row r="9" spans="1:5" x14ac:dyDescent="0.25">
      <c r="A9">
        <v>700</v>
      </c>
      <c r="B9">
        <v>5618</v>
      </c>
    </row>
    <row r="10" spans="1:5" x14ac:dyDescent="0.25">
      <c r="A10">
        <v>800</v>
      </c>
      <c r="B10">
        <v>6407</v>
      </c>
    </row>
    <row r="11" spans="1:5" x14ac:dyDescent="0.25">
      <c r="A11">
        <v>900</v>
      </c>
      <c r="B11">
        <v>7198</v>
      </c>
    </row>
    <row r="12" spans="1:5" x14ac:dyDescent="0.25">
      <c r="A12">
        <v>1000</v>
      </c>
      <c r="B12">
        <v>7990</v>
      </c>
    </row>
    <row r="13" spans="1:5" x14ac:dyDescent="0.25">
      <c r="A13">
        <v>1100</v>
      </c>
      <c r="B13">
        <v>8784</v>
      </c>
    </row>
    <row r="14" spans="1:5" x14ac:dyDescent="0.25">
      <c r="A14">
        <v>1200</v>
      </c>
      <c r="B14">
        <v>9580</v>
      </c>
    </row>
    <row r="15" spans="1:5" x14ac:dyDescent="0.25">
      <c r="A15">
        <v>1300</v>
      </c>
      <c r="B15">
        <v>10378</v>
      </c>
    </row>
    <row r="16" spans="1:5" x14ac:dyDescent="0.25">
      <c r="A16">
        <v>1400</v>
      </c>
      <c r="B16">
        <v>11178</v>
      </c>
    </row>
    <row r="17" spans="1:2" x14ac:dyDescent="0.25">
      <c r="A17">
        <v>1500</v>
      </c>
      <c r="B17">
        <v>11979</v>
      </c>
    </row>
    <row r="18" spans="1:2" x14ac:dyDescent="0.25">
      <c r="A18">
        <v>1600</v>
      </c>
      <c r="B18">
        <v>12782</v>
      </c>
    </row>
    <row r="19" spans="1:2" x14ac:dyDescent="0.25">
      <c r="A19">
        <v>1700</v>
      </c>
      <c r="B19">
        <v>13587</v>
      </c>
    </row>
    <row r="20" spans="1:2" x14ac:dyDescent="0.25">
      <c r="A20">
        <v>1800</v>
      </c>
      <c r="B20">
        <v>14394</v>
      </c>
    </row>
    <row r="21" spans="1:2" x14ac:dyDescent="0.25">
      <c r="A21">
        <v>1900</v>
      </c>
      <c r="B21">
        <v>15203</v>
      </c>
    </row>
    <row r="22" spans="1:2" x14ac:dyDescent="0.25">
      <c r="A22">
        <v>2000</v>
      </c>
      <c r="B22">
        <v>16013</v>
      </c>
    </row>
    <row r="23" spans="1:2" x14ac:dyDescent="0.25">
      <c r="A23">
        <v>2100</v>
      </c>
      <c r="B23">
        <v>16825</v>
      </c>
    </row>
    <row r="24" spans="1:2" x14ac:dyDescent="0.25">
      <c r="A24">
        <v>2200</v>
      </c>
      <c r="B24">
        <v>17638</v>
      </c>
    </row>
    <row r="25" spans="1:2" x14ac:dyDescent="0.25">
      <c r="A25">
        <v>2300</v>
      </c>
      <c r="B25">
        <v>18451</v>
      </c>
    </row>
    <row r="26" spans="1:2" x14ac:dyDescent="0.25">
      <c r="A26">
        <v>2400</v>
      </c>
      <c r="B26">
        <v>19264</v>
      </c>
    </row>
    <row r="27" spans="1:2" x14ac:dyDescent="0.25">
      <c r="A27">
        <v>2500</v>
      </c>
      <c r="B27">
        <v>20077</v>
      </c>
    </row>
    <row r="28" spans="1:2" x14ac:dyDescent="0.25">
      <c r="A28">
        <v>2600</v>
      </c>
      <c r="B28">
        <v>20890</v>
      </c>
    </row>
    <row r="29" spans="1:2" x14ac:dyDescent="0.25">
      <c r="A29">
        <v>2700</v>
      </c>
      <c r="B29">
        <v>21703</v>
      </c>
    </row>
    <row r="30" spans="1:2" x14ac:dyDescent="0.25">
      <c r="A30">
        <v>2800</v>
      </c>
      <c r="B30">
        <v>22516</v>
      </c>
    </row>
    <row r="31" spans="1:2" x14ac:dyDescent="0.25">
      <c r="A31">
        <v>2900</v>
      </c>
      <c r="B31">
        <v>22623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4D994-AACF-46B0-AEFA-F525246B90E1}">
  <dimension ref="A1:E31"/>
  <sheetViews>
    <sheetView workbookViewId="0">
      <selection sqref="A1:E3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>
        <f>'SONDAGEM CLASSE C 322-326'!C4</f>
        <v>2100</v>
      </c>
    </row>
    <row r="2" spans="1:5" x14ac:dyDescent="0.25">
      <c r="A2">
        <v>0</v>
      </c>
      <c r="B2">
        <v>159</v>
      </c>
      <c r="D2" t="s">
        <v>3</v>
      </c>
      <c r="E2">
        <f ca="1">FORECAST(E1,OFFSET(B2:B100,MATCH(E1,A2:A100,1)-1,0,2),OFFSET(A2:A100,MATCH(E1,A2:A100,1)-1,0,2))</f>
        <v>16825</v>
      </c>
    </row>
    <row r="3" spans="1:5" x14ac:dyDescent="0.25">
      <c r="A3">
        <v>100</v>
      </c>
      <c r="B3">
        <v>923</v>
      </c>
    </row>
    <row r="4" spans="1:5" x14ac:dyDescent="0.25">
      <c r="A4">
        <v>200</v>
      </c>
      <c r="B4">
        <v>1701</v>
      </c>
    </row>
    <row r="5" spans="1:5" x14ac:dyDescent="0.25">
      <c r="A5">
        <v>300</v>
      </c>
      <c r="B5">
        <v>2481</v>
      </c>
    </row>
    <row r="6" spans="1:5" x14ac:dyDescent="0.25">
      <c r="A6">
        <v>400</v>
      </c>
      <c r="B6">
        <v>3263</v>
      </c>
    </row>
    <row r="7" spans="1:5" x14ac:dyDescent="0.25">
      <c r="A7">
        <v>500</v>
      </c>
      <c r="B7">
        <v>4046</v>
      </c>
    </row>
    <row r="8" spans="1:5" x14ac:dyDescent="0.25">
      <c r="A8">
        <v>600</v>
      </c>
      <c r="B8">
        <v>4831</v>
      </c>
    </row>
    <row r="9" spans="1:5" x14ac:dyDescent="0.25">
      <c r="A9">
        <v>700</v>
      </c>
      <c r="B9">
        <v>5618</v>
      </c>
    </row>
    <row r="10" spans="1:5" x14ac:dyDescent="0.25">
      <c r="A10">
        <v>800</v>
      </c>
      <c r="B10">
        <v>6407</v>
      </c>
    </row>
    <row r="11" spans="1:5" x14ac:dyDescent="0.25">
      <c r="A11">
        <v>900</v>
      </c>
      <c r="B11">
        <v>7198</v>
      </c>
    </row>
    <row r="12" spans="1:5" x14ac:dyDescent="0.25">
      <c r="A12">
        <v>1000</v>
      </c>
      <c r="B12">
        <v>7990</v>
      </c>
    </row>
    <row r="13" spans="1:5" x14ac:dyDescent="0.25">
      <c r="A13">
        <v>1100</v>
      </c>
      <c r="B13">
        <v>8784</v>
      </c>
    </row>
    <row r="14" spans="1:5" x14ac:dyDescent="0.25">
      <c r="A14">
        <v>1200</v>
      </c>
      <c r="B14">
        <v>9580</v>
      </c>
    </row>
    <row r="15" spans="1:5" x14ac:dyDescent="0.25">
      <c r="A15">
        <v>1300</v>
      </c>
      <c r="B15">
        <v>10378</v>
      </c>
    </row>
    <row r="16" spans="1:5" x14ac:dyDescent="0.25">
      <c r="A16">
        <v>1400</v>
      </c>
      <c r="B16">
        <v>11178</v>
      </c>
    </row>
    <row r="17" spans="1:2" x14ac:dyDescent="0.25">
      <c r="A17">
        <v>1500</v>
      </c>
      <c r="B17">
        <v>11979</v>
      </c>
    </row>
    <row r="18" spans="1:2" x14ac:dyDescent="0.25">
      <c r="A18">
        <v>1600</v>
      </c>
      <c r="B18">
        <v>12782</v>
      </c>
    </row>
    <row r="19" spans="1:2" x14ac:dyDescent="0.25">
      <c r="A19">
        <v>1700</v>
      </c>
      <c r="B19">
        <v>13587</v>
      </c>
    </row>
    <row r="20" spans="1:2" x14ac:dyDescent="0.25">
      <c r="A20">
        <v>1800</v>
      </c>
      <c r="B20">
        <v>14394</v>
      </c>
    </row>
    <row r="21" spans="1:2" x14ac:dyDescent="0.25">
      <c r="A21">
        <v>1900</v>
      </c>
      <c r="B21">
        <v>15203</v>
      </c>
    </row>
    <row r="22" spans="1:2" x14ac:dyDescent="0.25">
      <c r="A22">
        <v>2000</v>
      </c>
      <c r="B22">
        <v>16013</v>
      </c>
    </row>
    <row r="23" spans="1:2" x14ac:dyDescent="0.25">
      <c r="A23">
        <v>2100</v>
      </c>
      <c r="B23">
        <v>16825</v>
      </c>
    </row>
    <row r="24" spans="1:2" x14ac:dyDescent="0.25">
      <c r="A24">
        <v>2200</v>
      </c>
      <c r="B24">
        <v>17638</v>
      </c>
    </row>
    <row r="25" spans="1:2" x14ac:dyDescent="0.25">
      <c r="A25">
        <v>2300</v>
      </c>
      <c r="B25">
        <v>18451</v>
      </c>
    </row>
    <row r="26" spans="1:2" x14ac:dyDescent="0.25">
      <c r="A26">
        <v>2400</v>
      </c>
      <c r="B26">
        <v>19264</v>
      </c>
    </row>
    <row r="27" spans="1:2" x14ac:dyDescent="0.25">
      <c r="A27">
        <v>2500</v>
      </c>
      <c r="B27">
        <v>20077</v>
      </c>
    </row>
    <row r="28" spans="1:2" x14ac:dyDescent="0.25">
      <c r="A28">
        <v>2600</v>
      </c>
      <c r="B28">
        <v>20890</v>
      </c>
    </row>
    <row r="29" spans="1:2" x14ac:dyDescent="0.25">
      <c r="A29">
        <v>2700</v>
      </c>
      <c r="B29">
        <v>21703</v>
      </c>
    </row>
    <row r="30" spans="1:2" x14ac:dyDescent="0.25">
      <c r="A30">
        <v>2800</v>
      </c>
      <c r="B30">
        <v>22516</v>
      </c>
    </row>
    <row r="31" spans="1:2" x14ac:dyDescent="0.25">
      <c r="A31">
        <v>2824</v>
      </c>
      <c r="B31">
        <v>22623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CC532-3A12-47CA-8E43-2B8134D4135C}">
  <dimension ref="A1:E25"/>
  <sheetViews>
    <sheetView topLeftCell="A4" workbookViewId="0">
      <selection sqref="A1:E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>
        <f>'SONDAGEM CLASSE C 322-326'!C5</f>
        <v>2100</v>
      </c>
    </row>
    <row r="2" spans="1:5" x14ac:dyDescent="0.25">
      <c r="A2">
        <v>0</v>
      </c>
      <c r="B2">
        <v>4</v>
      </c>
      <c r="D2" t="s">
        <v>3</v>
      </c>
      <c r="E2">
        <f ca="1">FORECAST(E1,OFFSET(B2:B100,MATCH(E1,A2:A100,1)-1,0,2),OFFSET(A2:A100,MATCH(E1,A2:A100,1)-1,0,2))</f>
        <v>19353.000000000007</v>
      </c>
    </row>
    <row r="3" spans="1:5" x14ac:dyDescent="0.25">
      <c r="A3">
        <v>100</v>
      </c>
      <c r="B3">
        <v>26</v>
      </c>
    </row>
    <row r="4" spans="1:5" x14ac:dyDescent="0.25">
      <c r="A4">
        <v>200</v>
      </c>
      <c r="B4">
        <v>72</v>
      </c>
    </row>
    <row r="5" spans="1:5" x14ac:dyDescent="0.25">
      <c r="A5">
        <v>300</v>
      </c>
      <c r="B5">
        <v>151</v>
      </c>
    </row>
    <row r="6" spans="1:5" x14ac:dyDescent="0.25">
      <c r="A6">
        <v>400</v>
      </c>
      <c r="B6">
        <v>275</v>
      </c>
    </row>
    <row r="7" spans="1:5" x14ac:dyDescent="0.25">
      <c r="A7">
        <v>500</v>
      </c>
      <c r="B7">
        <v>449</v>
      </c>
    </row>
    <row r="8" spans="1:5" x14ac:dyDescent="0.25">
      <c r="A8">
        <v>600</v>
      </c>
      <c r="B8">
        <v>692</v>
      </c>
    </row>
    <row r="9" spans="1:5" x14ac:dyDescent="0.25">
      <c r="A9">
        <v>700</v>
      </c>
      <c r="B9">
        <v>1042</v>
      </c>
    </row>
    <row r="10" spans="1:5" x14ac:dyDescent="0.25">
      <c r="A10">
        <v>800</v>
      </c>
      <c r="B10">
        <v>1528</v>
      </c>
    </row>
    <row r="11" spans="1:5" x14ac:dyDescent="0.25">
      <c r="A11">
        <v>900</v>
      </c>
      <c r="B11">
        <v>2190</v>
      </c>
    </row>
    <row r="12" spans="1:5" x14ac:dyDescent="0.25">
      <c r="A12">
        <v>1000</v>
      </c>
      <c r="B12">
        <v>3037</v>
      </c>
    </row>
    <row r="13" spans="1:5" x14ac:dyDescent="0.25">
      <c r="A13">
        <v>1100</v>
      </c>
      <c r="B13">
        <v>4069</v>
      </c>
    </row>
    <row r="14" spans="1:5" x14ac:dyDescent="0.25">
      <c r="A14">
        <v>1200</v>
      </c>
      <c r="B14">
        <v>5265</v>
      </c>
    </row>
    <row r="15" spans="1:5" x14ac:dyDescent="0.25">
      <c r="A15">
        <v>1300</v>
      </c>
      <c r="B15">
        <v>6597</v>
      </c>
    </row>
    <row r="16" spans="1:5" x14ac:dyDescent="0.25">
      <c r="A16">
        <v>1400</v>
      </c>
      <c r="B16">
        <v>8036</v>
      </c>
    </row>
    <row r="17" spans="1:2" x14ac:dyDescent="0.25">
      <c r="A17">
        <v>1500</v>
      </c>
      <c r="B17">
        <v>9550</v>
      </c>
    </row>
    <row r="18" spans="1:2" x14ac:dyDescent="0.25">
      <c r="A18">
        <v>1600</v>
      </c>
      <c r="B18">
        <v>11116</v>
      </c>
    </row>
    <row r="19" spans="1:2" x14ac:dyDescent="0.25">
      <c r="A19">
        <v>1700</v>
      </c>
      <c r="B19">
        <v>12718</v>
      </c>
    </row>
    <row r="20" spans="1:2" x14ac:dyDescent="0.25">
      <c r="A20">
        <v>1800</v>
      </c>
      <c r="B20">
        <v>14347</v>
      </c>
    </row>
    <row r="21" spans="1:2" x14ac:dyDescent="0.25">
      <c r="A21">
        <v>1900</v>
      </c>
      <c r="B21">
        <v>15999</v>
      </c>
    </row>
    <row r="22" spans="1:2" x14ac:dyDescent="0.25">
      <c r="A22">
        <v>2000</v>
      </c>
      <c r="B22">
        <v>17669</v>
      </c>
    </row>
    <row r="23" spans="1:2" x14ac:dyDescent="0.25">
      <c r="A23">
        <v>2100</v>
      </c>
      <c r="B23">
        <v>19353</v>
      </c>
    </row>
    <row r="24" spans="1:2" x14ac:dyDescent="0.25">
      <c r="A24">
        <v>2200</v>
      </c>
      <c r="B24">
        <v>20986</v>
      </c>
    </row>
    <row r="25" spans="1:2" x14ac:dyDescent="0.25">
      <c r="A25">
        <v>2248</v>
      </c>
      <c r="B25">
        <v>21254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DBC1E-057E-4D66-99A3-4D4ED6E129C4}">
  <dimension ref="A1:E27"/>
  <sheetViews>
    <sheetView workbookViewId="0">
      <selection sqref="A1:E27"/>
    </sheetView>
  </sheetViews>
  <sheetFormatPr defaultRowHeight="15" x14ac:dyDescent="0.25"/>
  <cols>
    <col min="4" max="4" width="15.85546875" customWidth="1"/>
  </cols>
  <sheetData>
    <row r="1" spans="1:5" x14ac:dyDescent="0.25">
      <c r="A1" t="s">
        <v>0</v>
      </c>
      <c r="B1" t="s">
        <v>1</v>
      </c>
      <c r="D1" s="1" t="s">
        <v>2</v>
      </c>
      <c r="E1" s="1">
        <f>'SONDAGEM CLASSE C 322-326'!C6</f>
        <v>2000</v>
      </c>
    </row>
    <row r="2" spans="1:5" x14ac:dyDescent="0.25">
      <c r="A2">
        <v>0</v>
      </c>
      <c r="B2">
        <v>2</v>
      </c>
      <c r="D2" s="1" t="s">
        <v>3</v>
      </c>
      <c r="E2" s="1">
        <f ca="1">FORECAST(E1,OFFSET(B2:B100,MATCH(E1,A2:A100,1)-1,0,2),OFFSET(A2:A100,MATCH(E1,A2:A100,1)-1,0,2))</f>
        <v>14678</v>
      </c>
    </row>
    <row r="3" spans="1:5" x14ac:dyDescent="0.25">
      <c r="A3">
        <v>100</v>
      </c>
      <c r="B3">
        <v>18</v>
      </c>
    </row>
    <row r="4" spans="1:5" x14ac:dyDescent="0.25">
      <c r="A4">
        <v>200</v>
      </c>
      <c r="B4">
        <v>55</v>
      </c>
    </row>
    <row r="5" spans="1:5" x14ac:dyDescent="0.25">
      <c r="A5">
        <v>300</v>
      </c>
      <c r="B5">
        <v>125</v>
      </c>
    </row>
    <row r="6" spans="1:5" x14ac:dyDescent="0.25">
      <c r="A6">
        <v>400</v>
      </c>
      <c r="B6">
        <v>236</v>
      </c>
    </row>
    <row r="7" spans="1:5" x14ac:dyDescent="0.25">
      <c r="A7">
        <v>500</v>
      </c>
      <c r="B7">
        <v>395</v>
      </c>
    </row>
    <row r="8" spans="1:5" x14ac:dyDescent="0.25">
      <c r="A8">
        <v>600</v>
      </c>
      <c r="B8">
        <v>615</v>
      </c>
    </row>
    <row r="9" spans="1:5" x14ac:dyDescent="0.25">
      <c r="A9">
        <v>700</v>
      </c>
      <c r="B9">
        <v>899</v>
      </c>
    </row>
    <row r="10" spans="1:5" x14ac:dyDescent="0.25">
      <c r="A10">
        <v>800</v>
      </c>
      <c r="B10">
        <v>1260</v>
      </c>
    </row>
    <row r="11" spans="1:5" x14ac:dyDescent="0.25">
      <c r="A11">
        <v>900</v>
      </c>
      <c r="B11">
        <v>1703</v>
      </c>
    </row>
    <row r="12" spans="1:5" x14ac:dyDescent="0.25">
      <c r="A12">
        <v>1000</v>
      </c>
      <c r="B12">
        <v>2239</v>
      </c>
    </row>
    <row r="13" spans="1:5" x14ac:dyDescent="0.25">
      <c r="A13">
        <v>1100</v>
      </c>
      <c r="B13">
        <v>2875</v>
      </c>
    </row>
    <row r="14" spans="1:5" x14ac:dyDescent="0.25">
      <c r="A14">
        <v>1200</v>
      </c>
      <c r="B14">
        <v>3665</v>
      </c>
    </row>
    <row r="15" spans="1:5" x14ac:dyDescent="0.25">
      <c r="A15">
        <v>1300</v>
      </c>
      <c r="B15">
        <v>4615</v>
      </c>
    </row>
    <row r="16" spans="1:5" x14ac:dyDescent="0.25">
      <c r="A16">
        <v>1400</v>
      </c>
      <c r="B16">
        <v>5725</v>
      </c>
    </row>
    <row r="17" spans="1:2" x14ac:dyDescent="0.25">
      <c r="A17">
        <v>1500</v>
      </c>
      <c r="B17">
        <v>6988</v>
      </c>
    </row>
    <row r="18" spans="1:2" x14ac:dyDescent="0.25">
      <c r="A18">
        <v>1600</v>
      </c>
      <c r="B18">
        <v>8379</v>
      </c>
    </row>
    <row r="19" spans="1:2" x14ac:dyDescent="0.25">
      <c r="A19">
        <v>1700</v>
      </c>
      <c r="B19">
        <v>9872</v>
      </c>
    </row>
    <row r="20" spans="1:2" x14ac:dyDescent="0.25">
      <c r="A20">
        <v>1800</v>
      </c>
      <c r="B20">
        <v>11436</v>
      </c>
    </row>
    <row r="21" spans="1:2" x14ac:dyDescent="0.25">
      <c r="A21">
        <v>1900</v>
      </c>
      <c r="B21">
        <v>13043</v>
      </c>
    </row>
    <row r="22" spans="1:2" x14ac:dyDescent="0.25">
      <c r="A22">
        <v>2000</v>
      </c>
      <c r="B22">
        <v>14678</v>
      </c>
    </row>
    <row r="23" spans="1:2" x14ac:dyDescent="0.25">
      <c r="A23">
        <v>2100</v>
      </c>
      <c r="B23">
        <v>16334</v>
      </c>
    </row>
    <row r="24" spans="1:2" x14ac:dyDescent="0.25">
      <c r="A24">
        <v>2200</v>
      </c>
      <c r="B24">
        <v>18007</v>
      </c>
    </row>
    <row r="25" spans="1:2" x14ac:dyDescent="0.25">
      <c r="A25">
        <v>2300</v>
      </c>
      <c r="B25">
        <v>19693</v>
      </c>
    </row>
    <row r="26" spans="1:2" x14ac:dyDescent="0.25">
      <c r="A26">
        <v>2400</v>
      </c>
      <c r="B26">
        <v>21169</v>
      </c>
    </row>
    <row r="27" spans="1:2" x14ac:dyDescent="0.25">
      <c r="A27">
        <v>2427</v>
      </c>
      <c r="B27">
        <v>21254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0673-C2E7-45F5-9849-4B598171FE0B}">
  <dimension ref="A1:E25"/>
  <sheetViews>
    <sheetView workbookViewId="0">
      <selection sqref="A1:E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>
        <f>'SONDAGEM CLASSE C 322-326'!C7</f>
        <v>2000</v>
      </c>
    </row>
    <row r="2" spans="1:5" x14ac:dyDescent="0.25">
      <c r="A2">
        <v>0</v>
      </c>
      <c r="B2">
        <v>18</v>
      </c>
      <c r="D2" t="s">
        <v>3</v>
      </c>
      <c r="E2">
        <f ca="1">FORECAST(E1,OFFSET(B2:B100,MATCH(E1,A2:A100,1)-1,0,2),OFFSET(A2:A100,MATCH(E1,A2:A100,1)-1,0,2))</f>
        <v>25604</v>
      </c>
    </row>
    <row r="3" spans="1:5" x14ac:dyDescent="0.25">
      <c r="A3">
        <v>100</v>
      </c>
      <c r="B3">
        <v>141</v>
      </c>
    </row>
    <row r="4" spans="1:5" x14ac:dyDescent="0.25">
      <c r="A4">
        <v>200</v>
      </c>
      <c r="B4">
        <v>432</v>
      </c>
    </row>
    <row r="5" spans="1:5" x14ac:dyDescent="0.25">
      <c r="A5">
        <v>300</v>
      </c>
      <c r="B5">
        <v>918</v>
      </c>
    </row>
    <row r="6" spans="1:5" x14ac:dyDescent="0.25">
      <c r="A6">
        <v>400</v>
      </c>
      <c r="B6">
        <v>1612</v>
      </c>
    </row>
    <row r="7" spans="1:5" x14ac:dyDescent="0.25">
      <c r="A7">
        <v>500</v>
      </c>
      <c r="B7">
        <v>2507</v>
      </c>
    </row>
    <row r="8" spans="1:5" x14ac:dyDescent="0.25">
      <c r="A8">
        <v>600</v>
      </c>
      <c r="B8">
        <v>3590</v>
      </c>
    </row>
    <row r="9" spans="1:5" x14ac:dyDescent="0.25">
      <c r="A9">
        <v>700</v>
      </c>
      <c r="B9">
        <v>4802</v>
      </c>
    </row>
    <row r="10" spans="1:5" x14ac:dyDescent="0.25">
      <c r="A10">
        <v>800</v>
      </c>
      <c r="B10">
        <v>6085</v>
      </c>
    </row>
    <row r="11" spans="1:5" x14ac:dyDescent="0.25">
      <c r="A11">
        <v>900</v>
      </c>
      <c r="B11">
        <v>7417</v>
      </c>
    </row>
    <row r="12" spans="1:5" x14ac:dyDescent="0.25">
      <c r="A12">
        <v>1000</v>
      </c>
      <c r="B12">
        <v>8795</v>
      </c>
    </row>
    <row r="13" spans="1:5" x14ac:dyDescent="0.25">
      <c r="A13">
        <v>1100</v>
      </c>
      <c r="B13">
        <v>10213</v>
      </c>
    </row>
    <row r="14" spans="1:5" x14ac:dyDescent="0.25">
      <c r="A14">
        <v>1200</v>
      </c>
      <c r="B14">
        <v>11665</v>
      </c>
    </row>
    <row r="15" spans="1:5" x14ac:dyDescent="0.25">
      <c r="A15">
        <v>1300</v>
      </c>
      <c r="B15">
        <v>13149</v>
      </c>
    </row>
    <row r="16" spans="1:5" x14ac:dyDescent="0.25">
      <c r="A16">
        <v>1400</v>
      </c>
      <c r="B16">
        <v>14665</v>
      </c>
    </row>
    <row r="17" spans="1:2" x14ac:dyDescent="0.25">
      <c r="A17">
        <v>1500</v>
      </c>
      <c r="B17">
        <v>16211</v>
      </c>
    </row>
    <row r="18" spans="1:2" x14ac:dyDescent="0.25">
      <c r="A18">
        <v>1600</v>
      </c>
      <c r="B18">
        <v>17777</v>
      </c>
    </row>
    <row r="19" spans="1:2" x14ac:dyDescent="0.25">
      <c r="A19">
        <v>1700</v>
      </c>
      <c r="B19">
        <v>19410</v>
      </c>
    </row>
    <row r="20" spans="1:2" x14ac:dyDescent="0.25">
      <c r="A20">
        <v>1800</v>
      </c>
      <c r="B20">
        <v>21264</v>
      </c>
    </row>
    <row r="21" spans="1:2" x14ac:dyDescent="0.25">
      <c r="A21">
        <v>1900</v>
      </c>
      <c r="B21">
        <v>23354</v>
      </c>
    </row>
    <row r="22" spans="1:2" x14ac:dyDescent="0.25">
      <c r="A22">
        <v>2000</v>
      </c>
      <c r="B22">
        <v>25604</v>
      </c>
    </row>
    <row r="23" spans="1:2" x14ac:dyDescent="0.25">
      <c r="A23">
        <v>2100</v>
      </c>
      <c r="B23">
        <v>27939</v>
      </c>
    </row>
    <row r="24" spans="1:2" x14ac:dyDescent="0.25">
      <c r="A24">
        <v>2200</v>
      </c>
      <c r="B24">
        <v>29755</v>
      </c>
    </row>
    <row r="25" spans="1:2" x14ac:dyDescent="0.25">
      <c r="A25">
        <v>2276</v>
      </c>
      <c r="B25">
        <v>30225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57020-6F02-4BB8-A6F3-3E341791F1DA}">
  <dimension ref="A1:E27"/>
  <sheetViews>
    <sheetView workbookViewId="0">
      <selection sqref="A1:E2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>
        <f>'SONDAGEM CLASSE C 322-326'!C8</f>
        <v>2000</v>
      </c>
    </row>
    <row r="2" spans="1:5" x14ac:dyDescent="0.25">
      <c r="A2">
        <v>0</v>
      </c>
      <c r="B2">
        <v>0</v>
      </c>
      <c r="D2" t="s">
        <v>3</v>
      </c>
      <c r="E2">
        <f ca="1">FORECAST(E1,OFFSET(B2:B100,MATCH(E1,A2:A100,1)-1,0,2),OFFSET(A2:A100,MATCH(E1,A2:A100,1)-1,0,2))</f>
        <v>34582</v>
      </c>
    </row>
    <row r="3" spans="1:5" x14ac:dyDescent="0.25">
      <c r="A3">
        <v>100</v>
      </c>
      <c r="B3">
        <v>109</v>
      </c>
    </row>
    <row r="4" spans="1:5" x14ac:dyDescent="0.25">
      <c r="A4">
        <v>200</v>
      </c>
      <c r="B4">
        <v>510</v>
      </c>
    </row>
    <row r="5" spans="1:5" x14ac:dyDescent="0.25">
      <c r="A5">
        <v>300</v>
      </c>
      <c r="B5">
        <v>1231</v>
      </c>
    </row>
    <row r="6" spans="1:5" x14ac:dyDescent="0.25">
      <c r="A6">
        <v>400</v>
      </c>
      <c r="B6">
        <v>2258</v>
      </c>
    </row>
    <row r="7" spans="1:5" x14ac:dyDescent="0.25">
      <c r="A7">
        <v>500</v>
      </c>
      <c r="B7">
        <v>3583</v>
      </c>
    </row>
    <row r="8" spans="1:5" x14ac:dyDescent="0.25">
      <c r="A8">
        <v>600</v>
      </c>
      <c r="B8">
        <v>5108</v>
      </c>
    </row>
    <row r="9" spans="1:5" x14ac:dyDescent="0.25">
      <c r="A9">
        <v>700</v>
      </c>
      <c r="B9">
        <v>6711</v>
      </c>
    </row>
    <row r="10" spans="1:5" x14ac:dyDescent="0.25">
      <c r="A10">
        <v>800</v>
      </c>
      <c r="B10">
        <v>8327</v>
      </c>
    </row>
    <row r="11" spans="1:5" x14ac:dyDescent="0.25">
      <c r="A11">
        <v>900</v>
      </c>
      <c r="B11">
        <v>9953</v>
      </c>
    </row>
    <row r="12" spans="1:5" x14ac:dyDescent="0.25">
      <c r="A12">
        <v>1000</v>
      </c>
      <c r="B12">
        <v>11692</v>
      </c>
    </row>
    <row r="13" spans="1:5" x14ac:dyDescent="0.25">
      <c r="A13">
        <v>1100</v>
      </c>
      <c r="B13">
        <v>13578</v>
      </c>
    </row>
    <row r="14" spans="1:5" x14ac:dyDescent="0.25">
      <c r="A14">
        <v>1200</v>
      </c>
      <c r="B14">
        <v>15621</v>
      </c>
    </row>
    <row r="15" spans="1:5" x14ac:dyDescent="0.25">
      <c r="A15">
        <v>1300</v>
      </c>
      <c r="B15">
        <v>17778</v>
      </c>
    </row>
    <row r="16" spans="1:5" x14ac:dyDescent="0.25">
      <c r="A16">
        <v>1400</v>
      </c>
      <c r="B16">
        <v>20047</v>
      </c>
    </row>
    <row r="17" spans="1:2" x14ac:dyDescent="0.25">
      <c r="A17">
        <v>1500</v>
      </c>
      <c r="B17">
        <v>22393</v>
      </c>
    </row>
    <row r="18" spans="1:2" x14ac:dyDescent="0.25">
      <c r="A18">
        <v>1600</v>
      </c>
      <c r="B18">
        <v>24797</v>
      </c>
    </row>
    <row r="19" spans="1:2" x14ac:dyDescent="0.25">
      <c r="A19">
        <v>1700</v>
      </c>
      <c r="B19">
        <v>27235</v>
      </c>
    </row>
    <row r="20" spans="1:2" x14ac:dyDescent="0.25">
      <c r="A20">
        <v>1800</v>
      </c>
      <c r="B20">
        <v>29684</v>
      </c>
    </row>
    <row r="21" spans="1:2" x14ac:dyDescent="0.25">
      <c r="A21">
        <v>1900</v>
      </c>
      <c r="B21">
        <v>32133</v>
      </c>
    </row>
    <row r="22" spans="1:2" x14ac:dyDescent="0.25">
      <c r="A22">
        <v>2000</v>
      </c>
      <c r="B22">
        <v>34582</v>
      </c>
    </row>
    <row r="23" spans="1:2" x14ac:dyDescent="0.25">
      <c r="A23">
        <v>2100</v>
      </c>
      <c r="B23">
        <v>37030</v>
      </c>
    </row>
    <row r="24" spans="1:2" x14ac:dyDescent="0.25">
      <c r="A24">
        <v>2200</v>
      </c>
      <c r="B24">
        <v>39479</v>
      </c>
    </row>
    <row r="25" spans="1:2" x14ac:dyDescent="0.25">
      <c r="A25">
        <v>2300</v>
      </c>
      <c r="B25">
        <v>41928</v>
      </c>
    </row>
    <row r="26" spans="1:2" x14ac:dyDescent="0.25">
      <c r="A26">
        <v>2400</v>
      </c>
      <c r="B26">
        <v>43977</v>
      </c>
    </row>
    <row r="27" spans="1:2" x14ac:dyDescent="0.25">
      <c r="A27">
        <v>2493</v>
      </c>
      <c r="B27">
        <v>44451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DDB7-8BDB-4FC3-B1EE-A23C9E7EACD0}">
  <dimension ref="A1:E25"/>
  <sheetViews>
    <sheetView tabSelected="1" workbookViewId="0">
      <selection sqref="A1:E2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D1" t="s">
        <v>2</v>
      </c>
      <c r="E1">
        <f>'SONDAGEM CLASSE C 322-326'!C9</f>
        <v>2000</v>
      </c>
    </row>
    <row r="2" spans="1:5" x14ac:dyDescent="0.25">
      <c r="A2">
        <v>0</v>
      </c>
      <c r="B2">
        <v>42</v>
      </c>
      <c r="D2" t="s">
        <v>3</v>
      </c>
      <c r="E2">
        <f ca="1">FORECAST(E1,OFFSET(B2:B100,MATCH(E1,A2:A100,1)-1,0,2),OFFSET(A2:A100,MATCH(E1,A2:A100,1)-1,0,2))</f>
        <v>29734</v>
      </c>
    </row>
    <row r="3" spans="1:5" x14ac:dyDescent="0.25">
      <c r="A3">
        <v>100</v>
      </c>
      <c r="B3">
        <v>213</v>
      </c>
    </row>
    <row r="4" spans="1:5" x14ac:dyDescent="0.25">
      <c r="A4">
        <v>200</v>
      </c>
      <c r="B4">
        <v>566</v>
      </c>
    </row>
    <row r="5" spans="1:5" x14ac:dyDescent="0.25">
      <c r="A5">
        <v>300</v>
      </c>
      <c r="B5">
        <v>1129</v>
      </c>
    </row>
    <row r="6" spans="1:5" x14ac:dyDescent="0.25">
      <c r="A6">
        <v>400</v>
      </c>
      <c r="B6">
        <v>1917</v>
      </c>
    </row>
    <row r="7" spans="1:5" x14ac:dyDescent="0.25">
      <c r="A7">
        <v>500</v>
      </c>
      <c r="B7">
        <v>2930</v>
      </c>
    </row>
    <row r="8" spans="1:5" x14ac:dyDescent="0.25">
      <c r="A8">
        <v>600</v>
      </c>
      <c r="B8">
        <v>4150</v>
      </c>
    </row>
    <row r="9" spans="1:5" x14ac:dyDescent="0.25">
      <c r="A9">
        <v>700</v>
      </c>
      <c r="B9">
        <v>5514</v>
      </c>
    </row>
    <row r="10" spans="1:5" x14ac:dyDescent="0.25">
      <c r="A10">
        <v>800</v>
      </c>
      <c r="B10">
        <v>6978</v>
      </c>
    </row>
    <row r="11" spans="1:5" x14ac:dyDescent="0.25">
      <c r="A11">
        <v>900</v>
      </c>
      <c r="B11">
        <v>8520</v>
      </c>
    </row>
    <row r="12" spans="1:5" x14ac:dyDescent="0.25">
      <c r="A12">
        <v>1000</v>
      </c>
      <c r="B12">
        <v>10124</v>
      </c>
    </row>
    <row r="13" spans="1:5" x14ac:dyDescent="0.25">
      <c r="A13">
        <v>1100</v>
      </c>
      <c r="B13">
        <v>11778</v>
      </c>
    </row>
    <row r="14" spans="1:5" x14ac:dyDescent="0.25">
      <c r="A14">
        <v>1200</v>
      </c>
      <c r="B14">
        <v>13474</v>
      </c>
    </row>
    <row r="15" spans="1:5" x14ac:dyDescent="0.25">
      <c r="A15">
        <v>1300</v>
      </c>
      <c r="B15">
        <v>15210</v>
      </c>
    </row>
    <row r="16" spans="1:5" x14ac:dyDescent="0.25">
      <c r="A16">
        <v>1400</v>
      </c>
      <c r="B16">
        <v>16985</v>
      </c>
    </row>
    <row r="17" spans="1:2" x14ac:dyDescent="0.25">
      <c r="A17">
        <v>1500</v>
      </c>
      <c r="B17">
        <v>18795</v>
      </c>
    </row>
    <row r="18" spans="1:2" x14ac:dyDescent="0.25">
      <c r="A18">
        <v>1600</v>
      </c>
      <c r="B18">
        <v>20631</v>
      </c>
    </row>
    <row r="19" spans="1:2" x14ac:dyDescent="0.25">
      <c r="A19">
        <v>1700</v>
      </c>
      <c r="B19">
        <v>22550</v>
      </c>
    </row>
    <row r="20" spans="1:2" x14ac:dyDescent="0.25">
      <c r="A20">
        <v>1800</v>
      </c>
      <c r="B20">
        <v>24733</v>
      </c>
    </row>
    <row r="21" spans="1:2" x14ac:dyDescent="0.25">
      <c r="A21">
        <v>1900</v>
      </c>
      <c r="B21">
        <v>27153</v>
      </c>
    </row>
    <row r="22" spans="1:2" x14ac:dyDescent="0.25">
      <c r="A22">
        <v>2000</v>
      </c>
      <c r="B22">
        <v>29734</v>
      </c>
    </row>
    <row r="23" spans="1:2" x14ac:dyDescent="0.25">
      <c r="A23">
        <v>2100</v>
      </c>
      <c r="B23">
        <v>32345</v>
      </c>
    </row>
    <row r="24" spans="1:2" x14ac:dyDescent="0.25">
      <c r="A24">
        <v>2200</v>
      </c>
      <c r="B24">
        <v>33855</v>
      </c>
    </row>
    <row r="25" spans="1:2" x14ac:dyDescent="0.25">
      <c r="A25">
        <v>2276</v>
      </c>
      <c r="B25">
        <v>34110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7ED552B4BFDD439F7E250BF0D08DC4" ma:contentTypeVersion="2" ma:contentTypeDescription="Create a new document." ma:contentTypeScope="" ma:versionID="6782d93ce90fb838652563831339f4c5">
  <xsd:schema xmlns:xsd="http://www.w3.org/2001/XMLSchema" xmlns:xs="http://www.w3.org/2001/XMLSchema" xmlns:p="http://schemas.microsoft.com/office/2006/metadata/properties" xmlns:ns3="c7e9e12b-e488-4582-bba1-43117c8a34f0" targetNamespace="http://schemas.microsoft.com/office/2006/metadata/properties" ma:root="true" ma:fieldsID="96c06d7b49296558d8113b8e8d3456dc" ns3:_="">
    <xsd:import namespace="c7e9e12b-e488-4582-bba1-43117c8a34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e9e12b-e488-4582-bba1-43117c8a34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99B0667-19B6-42E5-AFFC-A4A7D8AD73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7e9e12b-e488-4582-bba1-43117c8a34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DEE881-C963-4428-9C2D-D9CEB3AAF9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D553DD-4DA9-4F9B-957D-C77A40CA34AA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c7e9e12b-e488-4582-bba1-43117c8a34f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SONDAGEM CLASSE C 322-326</vt:lpstr>
      <vt:lpstr>FODAY.P</vt:lpstr>
      <vt:lpstr>FODAY.S</vt:lpstr>
      <vt:lpstr>FOAFT.P</vt:lpstr>
      <vt:lpstr>FOAFT.S</vt:lpstr>
      <vt:lpstr>FODB.P</vt:lpstr>
      <vt:lpstr>FODB.C</vt:lpstr>
      <vt:lpstr>FODB.S</vt:lpstr>
      <vt:lpstr>FODAY.P 50</vt:lpstr>
      <vt:lpstr>FODAY.S 50</vt:lpstr>
      <vt:lpstr>FO_AFT.P 50</vt:lpstr>
      <vt:lpstr>FO_AFT.S 50</vt:lpstr>
      <vt:lpstr>FODB.P 50</vt:lpstr>
      <vt:lpstr>FODB.C 50</vt:lpstr>
      <vt:lpstr>FODB.S 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jossian brito</dc:creator>
  <cp:lastModifiedBy>jossian brito</cp:lastModifiedBy>
  <dcterms:created xsi:type="dcterms:W3CDTF">2022-08-28T23:26:50Z</dcterms:created>
  <dcterms:modified xsi:type="dcterms:W3CDTF">2023-09-05T02:41:07Z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0x010100297ED552B4BFDD439F7E250BF0D08DC4</vt:lpwstr>
  </property>
</Properties>
</file>