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C348C7AD-9595-4F7F-B4D6-17EE1102C408}" xr6:coauthVersionLast="47" xr6:coauthVersionMax="47" xr10:uidLastSave="{00000000-0000-0000-0000-000000000000}"/>
  <bookViews>
    <workbookView showHorizontalScroll="0" showVerticalScroll="0" showSheetTabs="0" xWindow="-120" yWindow="-120" windowWidth="29040" windowHeight="16440" xr2:uid="{67AAEA05-50FA-47E8-A555-BC2FABB18C2F}"/>
  </bookViews>
  <sheets>
    <sheet name="SOND" sheetId="1" r:id="rId1"/>
    <sheet name="CTL" sheetId="2" r:id="rId2"/>
    <sheet name="ARM" sheetId="4" r:id="rId3"/>
    <sheet name="DIARIO" sheetId="5" r:id="rId4"/>
  </sheets>
  <definedNames>
    <definedName name="_xlnm.Print_Area" localSheetId="0">SOND!$C$14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1" l="1"/>
  <c r="D16" i="1"/>
  <c r="E16" i="1" s="1"/>
  <c r="D17" i="1"/>
  <c r="E17" i="1" s="1"/>
  <c r="I15" i="1"/>
  <c r="F18" i="1" l="1"/>
  <c r="G17" i="1"/>
  <c r="G16" i="1"/>
  <c r="B133" i="5"/>
  <c r="B134" i="5" s="1"/>
  <c r="B135" i="5" s="1"/>
  <c r="B136" i="5" s="1"/>
  <c r="B137" i="5" s="1"/>
  <c r="B138" i="5" s="1"/>
  <c r="B139" i="5" s="1"/>
  <c r="B140" i="5" s="1"/>
  <c r="B141" i="5" s="1"/>
  <c r="B193" i="5"/>
  <c r="B194" i="5" s="1"/>
  <c r="B195" i="5" s="1"/>
  <c r="B196" i="5" s="1"/>
  <c r="B197" i="5" s="1"/>
  <c r="B198" i="5" s="1"/>
  <c r="B199" i="5" s="1"/>
  <c r="B200" i="5" s="1"/>
  <c r="B201" i="5" s="1"/>
  <c r="B183" i="5"/>
  <c r="B184" i="5" s="1"/>
  <c r="B185" i="5" s="1"/>
  <c r="B186" i="5" s="1"/>
  <c r="B187" i="5" s="1"/>
  <c r="B188" i="5" s="1"/>
  <c r="B189" i="5" s="1"/>
  <c r="B190" i="5" s="1"/>
  <c r="B191" i="5" s="1"/>
  <c r="B173" i="5"/>
  <c r="B174" i="5" s="1"/>
  <c r="B175" i="5" s="1"/>
  <c r="B176" i="5" s="1"/>
  <c r="B177" i="5" s="1"/>
  <c r="B178" i="5" s="1"/>
  <c r="B179" i="5" s="1"/>
  <c r="B180" i="5" s="1"/>
  <c r="B181" i="5" s="1"/>
  <c r="B163" i="5"/>
  <c r="B164" i="5" s="1"/>
  <c r="B165" i="5" s="1"/>
  <c r="B166" i="5" s="1"/>
  <c r="B167" i="5" s="1"/>
  <c r="B168" i="5" s="1"/>
  <c r="B169" i="5" s="1"/>
  <c r="B170" i="5" s="1"/>
  <c r="B171" i="5" s="1"/>
  <c r="B153" i="5"/>
  <c r="B154" i="5" s="1"/>
  <c r="B155" i="5" s="1"/>
  <c r="B156" i="5" s="1"/>
  <c r="B157" i="5" s="1"/>
  <c r="B158" i="5" s="1"/>
  <c r="B159" i="5" s="1"/>
  <c r="B160" i="5" s="1"/>
  <c r="B161" i="5" s="1"/>
  <c r="B143" i="5"/>
  <c r="B144" i="5" s="1"/>
  <c r="B145" i="5" s="1"/>
  <c r="B146" i="5" s="1"/>
  <c r="B147" i="5" s="1"/>
  <c r="B148" i="5" s="1"/>
  <c r="B149" i="5" s="1"/>
  <c r="B150" i="5" s="1"/>
  <c r="B151" i="5" s="1"/>
  <c r="A139" i="5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B123" i="5"/>
  <c r="B124" i="5" s="1"/>
  <c r="B125" i="5" s="1"/>
  <c r="B126" i="5" s="1"/>
  <c r="B127" i="5" s="1"/>
  <c r="B128" i="5" s="1"/>
  <c r="B129" i="5" s="1"/>
  <c r="B130" i="5" s="1"/>
  <c r="B131" i="5" s="1"/>
  <c r="B113" i="5"/>
  <c r="B114" i="5" s="1"/>
  <c r="B115" i="5" s="1"/>
  <c r="B116" i="5" s="1"/>
  <c r="B117" i="5" s="1"/>
  <c r="B118" i="5" s="1"/>
  <c r="B119" i="5" s="1"/>
  <c r="B120" i="5" s="1"/>
  <c r="B121" i="5" s="1"/>
  <c r="B103" i="5"/>
  <c r="B104" i="5" s="1"/>
  <c r="B105" i="5" s="1"/>
  <c r="B106" i="5" s="1"/>
  <c r="B107" i="5" s="1"/>
  <c r="B108" i="5" s="1"/>
  <c r="B109" i="5" s="1"/>
  <c r="B110" i="5" s="1"/>
  <c r="B111" i="5" s="1"/>
  <c r="B93" i="5"/>
  <c r="B94" i="5" s="1"/>
  <c r="B95" i="5" s="1"/>
  <c r="B96" i="5" s="1"/>
  <c r="B97" i="5" s="1"/>
  <c r="B98" i="5" s="1"/>
  <c r="B99" i="5" s="1"/>
  <c r="B100" i="5" s="1"/>
  <c r="B101" i="5" s="1"/>
  <c r="B83" i="5"/>
  <c r="B84" i="5" s="1"/>
  <c r="B85" i="5" s="1"/>
  <c r="B86" i="5" s="1"/>
  <c r="B87" i="5" s="1"/>
  <c r="B88" i="5" s="1"/>
  <c r="B89" i="5" s="1"/>
  <c r="B90" i="5" s="1"/>
  <c r="B91" i="5" s="1"/>
  <c r="B73" i="5"/>
  <c r="B74" i="5" s="1"/>
  <c r="B75" i="5" s="1"/>
  <c r="B76" i="5" s="1"/>
  <c r="B77" i="5" s="1"/>
  <c r="B78" i="5" s="1"/>
  <c r="B79" i="5" s="1"/>
  <c r="B80" i="5" s="1"/>
  <c r="B81" i="5" s="1"/>
  <c r="B63" i="5"/>
  <c r="B64" i="5" s="1"/>
  <c r="B65" i="5" s="1"/>
  <c r="B66" i="5" s="1"/>
  <c r="B67" i="5" s="1"/>
  <c r="B68" i="5" s="1"/>
  <c r="B69" i="5" s="1"/>
  <c r="B70" i="5" s="1"/>
  <c r="B71" i="5" s="1"/>
  <c r="B53" i="5"/>
  <c r="B54" i="5" s="1"/>
  <c r="B55" i="5" s="1"/>
  <c r="B56" i="5" s="1"/>
  <c r="B57" i="5" s="1"/>
  <c r="B58" i="5" s="1"/>
  <c r="B59" i="5" s="1"/>
  <c r="B60" i="5" s="1"/>
  <c r="B61" i="5" s="1"/>
  <c r="B43" i="5"/>
  <c r="B44" i="5" s="1"/>
  <c r="B45" i="5" s="1"/>
  <c r="B46" i="5" s="1"/>
  <c r="B47" i="5" s="1"/>
  <c r="B48" i="5" s="1"/>
  <c r="B49" i="5" s="1"/>
  <c r="B50" i="5" s="1"/>
  <c r="B51" i="5" s="1"/>
  <c r="B33" i="5"/>
  <c r="B34" i="5" s="1"/>
  <c r="B35" i="5" s="1"/>
  <c r="B36" i="5" s="1"/>
  <c r="B37" i="5" s="1"/>
  <c r="B38" i="5" s="1"/>
  <c r="B39" i="5" s="1"/>
  <c r="B40" i="5" s="1"/>
  <c r="B41" i="5" s="1"/>
  <c r="B23" i="5"/>
  <c r="B24" i="5" s="1"/>
  <c r="B25" i="5" s="1"/>
  <c r="B26" i="5" s="1"/>
  <c r="B27" i="5" s="1"/>
  <c r="B28" i="5" s="1"/>
  <c r="B29" i="5" s="1"/>
  <c r="B30" i="5" s="1"/>
  <c r="B31" i="5" s="1"/>
  <c r="B13" i="5"/>
  <c r="B14" i="5" s="1"/>
  <c r="B15" i="5" s="1"/>
  <c r="B16" i="5" s="1"/>
  <c r="B17" i="5" s="1"/>
  <c r="B18" i="5" s="1"/>
  <c r="B19" i="5" s="1"/>
  <c r="B20" i="5" s="1"/>
  <c r="B21" i="5" s="1"/>
  <c r="B3" i="5"/>
  <c r="B4" i="5" s="1"/>
  <c r="B5" i="5" s="1"/>
  <c r="B6" i="5" s="1"/>
  <c r="B7" i="5" s="1"/>
  <c r="B8" i="5" s="1"/>
  <c r="B9" i="5" s="1"/>
  <c r="B10" i="5" s="1"/>
  <c r="B11" i="5" s="1"/>
  <c r="L124" i="4"/>
  <c r="L125" i="4" s="1"/>
  <c r="L126" i="4" s="1"/>
  <c r="L127" i="4" s="1"/>
  <c r="L128" i="4" s="1"/>
  <c r="L129" i="4" s="1"/>
  <c r="L130" i="4" s="1"/>
  <c r="L131" i="4" s="1"/>
  <c r="L132" i="4" s="1"/>
  <c r="K124" i="4"/>
  <c r="K125" i="4" s="1"/>
  <c r="K126" i="4" s="1"/>
  <c r="K127" i="4" s="1"/>
  <c r="K128" i="4" s="1"/>
  <c r="K129" i="4" s="1"/>
  <c r="K130" i="4" s="1"/>
  <c r="K131" i="4" s="1"/>
  <c r="K132" i="4" s="1"/>
  <c r="J124" i="4"/>
  <c r="J125" i="4" s="1"/>
  <c r="J126" i="4" s="1"/>
  <c r="J127" i="4" s="1"/>
  <c r="J128" i="4" s="1"/>
  <c r="J129" i="4" s="1"/>
  <c r="J130" i="4" s="1"/>
  <c r="J131" i="4" s="1"/>
  <c r="J132" i="4" s="1"/>
  <c r="I124" i="4"/>
  <c r="I125" i="4" s="1"/>
  <c r="I126" i="4" s="1"/>
  <c r="I127" i="4" s="1"/>
  <c r="I128" i="4" s="1"/>
  <c r="I129" i="4" s="1"/>
  <c r="I130" i="4" s="1"/>
  <c r="I131" i="4" s="1"/>
  <c r="I132" i="4" s="1"/>
  <c r="H124" i="4"/>
  <c r="H125" i="4" s="1"/>
  <c r="H126" i="4" s="1"/>
  <c r="H127" i="4" s="1"/>
  <c r="H128" i="4" s="1"/>
  <c r="H129" i="4" s="1"/>
  <c r="H130" i="4" s="1"/>
  <c r="H131" i="4" s="1"/>
  <c r="H132" i="4" s="1"/>
  <c r="G124" i="4"/>
  <c r="G125" i="4" s="1"/>
  <c r="G126" i="4" s="1"/>
  <c r="G127" i="4" s="1"/>
  <c r="G128" i="4" s="1"/>
  <c r="G129" i="4" s="1"/>
  <c r="G130" i="4" s="1"/>
  <c r="G131" i="4" s="1"/>
  <c r="G132" i="4" s="1"/>
  <c r="F124" i="4"/>
  <c r="F125" i="4" s="1"/>
  <c r="F126" i="4" s="1"/>
  <c r="F127" i="4" s="1"/>
  <c r="F128" i="4" s="1"/>
  <c r="F129" i="4" s="1"/>
  <c r="F130" i="4" s="1"/>
  <c r="F131" i="4" s="1"/>
  <c r="F132" i="4" s="1"/>
  <c r="E124" i="4"/>
  <c r="E125" i="4" s="1"/>
  <c r="E126" i="4" s="1"/>
  <c r="E127" i="4" s="1"/>
  <c r="E128" i="4" s="1"/>
  <c r="E129" i="4" s="1"/>
  <c r="E130" i="4" s="1"/>
  <c r="E131" i="4" s="1"/>
  <c r="E132" i="4" s="1"/>
  <c r="D124" i="4"/>
  <c r="D125" i="4" s="1"/>
  <c r="D126" i="4" s="1"/>
  <c r="D127" i="4" s="1"/>
  <c r="D128" i="4" s="1"/>
  <c r="D129" i="4" s="1"/>
  <c r="D130" i="4" s="1"/>
  <c r="D131" i="4" s="1"/>
  <c r="D132" i="4" s="1"/>
  <c r="C124" i="4"/>
  <c r="C125" i="4" s="1"/>
  <c r="C126" i="4" s="1"/>
  <c r="C127" i="4" s="1"/>
  <c r="C128" i="4" s="1"/>
  <c r="C129" i="4" s="1"/>
  <c r="C130" i="4" s="1"/>
  <c r="C131" i="4" s="1"/>
  <c r="C132" i="4" s="1"/>
  <c r="B124" i="4"/>
  <c r="B125" i="4" s="1"/>
  <c r="B126" i="4" s="1"/>
  <c r="B127" i="4" s="1"/>
  <c r="B128" i="4" s="1"/>
  <c r="B129" i="4" s="1"/>
  <c r="B130" i="4" s="1"/>
  <c r="B131" i="4" s="1"/>
  <c r="B132" i="4" s="1"/>
  <c r="L114" i="4"/>
  <c r="L115" i="4" s="1"/>
  <c r="L116" i="4" s="1"/>
  <c r="L117" i="4" s="1"/>
  <c r="L118" i="4" s="1"/>
  <c r="L119" i="4" s="1"/>
  <c r="L120" i="4" s="1"/>
  <c r="L121" i="4" s="1"/>
  <c r="L122" i="4" s="1"/>
  <c r="K114" i="4"/>
  <c r="K115" i="4" s="1"/>
  <c r="K116" i="4" s="1"/>
  <c r="K117" i="4" s="1"/>
  <c r="K118" i="4" s="1"/>
  <c r="K119" i="4" s="1"/>
  <c r="K120" i="4" s="1"/>
  <c r="K121" i="4" s="1"/>
  <c r="K122" i="4" s="1"/>
  <c r="J114" i="4"/>
  <c r="J115" i="4" s="1"/>
  <c r="J116" i="4" s="1"/>
  <c r="J117" i="4" s="1"/>
  <c r="J118" i="4" s="1"/>
  <c r="J119" i="4" s="1"/>
  <c r="J120" i="4" s="1"/>
  <c r="J121" i="4" s="1"/>
  <c r="J122" i="4" s="1"/>
  <c r="I114" i="4"/>
  <c r="I115" i="4" s="1"/>
  <c r="I116" i="4" s="1"/>
  <c r="I117" i="4" s="1"/>
  <c r="I118" i="4" s="1"/>
  <c r="I119" i="4" s="1"/>
  <c r="I120" i="4" s="1"/>
  <c r="I121" i="4" s="1"/>
  <c r="I122" i="4" s="1"/>
  <c r="H114" i="4"/>
  <c r="H115" i="4" s="1"/>
  <c r="H116" i="4" s="1"/>
  <c r="H117" i="4" s="1"/>
  <c r="H118" i="4" s="1"/>
  <c r="H119" i="4" s="1"/>
  <c r="H120" i="4" s="1"/>
  <c r="H121" i="4" s="1"/>
  <c r="H122" i="4" s="1"/>
  <c r="G114" i="4"/>
  <c r="G115" i="4" s="1"/>
  <c r="G116" i="4" s="1"/>
  <c r="G117" i="4" s="1"/>
  <c r="G118" i="4" s="1"/>
  <c r="G119" i="4" s="1"/>
  <c r="G120" i="4" s="1"/>
  <c r="G121" i="4" s="1"/>
  <c r="G122" i="4" s="1"/>
  <c r="F114" i="4"/>
  <c r="F115" i="4" s="1"/>
  <c r="F116" i="4" s="1"/>
  <c r="F117" i="4" s="1"/>
  <c r="F118" i="4" s="1"/>
  <c r="F119" i="4" s="1"/>
  <c r="F120" i="4" s="1"/>
  <c r="F121" i="4" s="1"/>
  <c r="F122" i="4" s="1"/>
  <c r="E114" i="4"/>
  <c r="E115" i="4" s="1"/>
  <c r="E116" i="4" s="1"/>
  <c r="E117" i="4" s="1"/>
  <c r="E118" i="4" s="1"/>
  <c r="E119" i="4" s="1"/>
  <c r="E120" i="4" s="1"/>
  <c r="E121" i="4" s="1"/>
  <c r="E122" i="4" s="1"/>
  <c r="D114" i="4"/>
  <c r="D115" i="4" s="1"/>
  <c r="D116" i="4" s="1"/>
  <c r="D117" i="4" s="1"/>
  <c r="D118" i="4" s="1"/>
  <c r="D119" i="4" s="1"/>
  <c r="D120" i="4" s="1"/>
  <c r="D121" i="4" s="1"/>
  <c r="D122" i="4" s="1"/>
  <c r="C114" i="4"/>
  <c r="C115" i="4" s="1"/>
  <c r="C116" i="4" s="1"/>
  <c r="C117" i="4" s="1"/>
  <c r="C118" i="4" s="1"/>
  <c r="C119" i="4" s="1"/>
  <c r="C120" i="4" s="1"/>
  <c r="C121" i="4" s="1"/>
  <c r="C122" i="4" s="1"/>
  <c r="B114" i="4"/>
  <c r="B115" i="4" s="1"/>
  <c r="B116" i="4" s="1"/>
  <c r="B117" i="4" s="1"/>
  <c r="B118" i="4" s="1"/>
  <c r="B119" i="4" s="1"/>
  <c r="B120" i="4" s="1"/>
  <c r="B121" i="4" s="1"/>
  <c r="B122" i="4" s="1"/>
  <c r="L104" i="4"/>
  <c r="L105" i="4" s="1"/>
  <c r="L106" i="4" s="1"/>
  <c r="L107" i="4" s="1"/>
  <c r="L108" i="4" s="1"/>
  <c r="L109" i="4" s="1"/>
  <c r="L110" i="4" s="1"/>
  <c r="L111" i="4" s="1"/>
  <c r="L112" i="4" s="1"/>
  <c r="K104" i="4"/>
  <c r="K105" i="4" s="1"/>
  <c r="K106" i="4" s="1"/>
  <c r="K107" i="4" s="1"/>
  <c r="K108" i="4" s="1"/>
  <c r="K109" i="4" s="1"/>
  <c r="K110" i="4" s="1"/>
  <c r="K111" i="4" s="1"/>
  <c r="K112" i="4" s="1"/>
  <c r="J104" i="4"/>
  <c r="J105" i="4" s="1"/>
  <c r="J106" i="4" s="1"/>
  <c r="J107" i="4" s="1"/>
  <c r="J108" i="4" s="1"/>
  <c r="J109" i="4" s="1"/>
  <c r="J110" i="4" s="1"/>
  <c r="J111" i="4" s="1"/>
  <c r="J112" i="4" s="1"/>
  <c r="I104" i="4"/>
  <c r="I105" i="4" s="1"/>
  <c r="I106" i="4" s="1"/>
  <c r="I107" i="4" s="1"/>
  <c r="I108" i="4" s="1"/>
  <c r="I109" i="4" s="1"/>
  <c r="I110" i="4" s="1"/>
  <c r="I111" i="4" s="1"/>
  <c r="I112" i="4" s="1"/>
  <c r="H104" i="4"/>
  <c r="H105" i="4" s="1"/>
  <c r="H106" i="4" s="1"/>
  <c r="H107" i="4" s="1"/>
  <c r="H108" i="4" s="1"/>
  <c r="H109" i="4" s="1"/>
  <c r="H110" i="4" s="1"/>
  <c r="H111" i="4" s="1"/>
  <c r="H112" i="4" s="1"/>
  <c r="G104" i="4"/>
  <c r="G105" i="4" s="1"/>
  <c r="G106" i="4" s="1"/>
  <c r="G107" i="4" s="1"/>
  <c r="G108" i="4" s="1"/>
  <c r="G109" i="4" s="1"/>
  <c r="G110" i="4" s="1"/>
  <c r="G111" i="4" s="1"/>
  <c r="G112" i="4" s="1"/>
  <c r="F104" i="4"/>
  <c r="F105" i="4" s="1"/>
  <c r="F106" i="4" s="1"/>
  <c r="F107" i="4" s="1"/>
  <c r="F108" i="4" s="1"/>
  <c r="F109" i="4" s="1"/>
  <c r="F110" i="4" s="1"/>
  <c r="F111" i="4" s="1"/>
  <c r="F112" i="4" s="1"/>
  <c r="E104" i="4"/>
  <c r="E105" i="4" s="1"/>
  <c r="E106" i="4" s="1"/>
  <c r="E107" i="4" s="1"/>
  <c r="E108" i="4" s="1"/>
  <c r="E109" i="4" s="1"/>
  <c r="E110" i="4" s="1"/>
  <c r="E111" i="4" s="1"/>
  <c r="E112" i="4" s="1"/>
  <c r="D104" i="4"/>
  <c r="D105" i="4" s="1"/>
  <c r="D106" i="4" s="1"/>
  <c r="D107" i="4" s="1"/>
  <c r="D108" i="4" s="1"/>
  <c r="D109" i="4" s="1"/>
  <c r="D110" i="4" s="1"/>
  <c r="D111" i="4" s="1"/>
  <c r="D112" i="4" s="1"/>
  <c r="C104" i="4"/>
  <c r="C105" i="4" s="1"/>
  <c r="C106" i="4" s="1"/>
  <c r="C107" i="4" s="1"/>
  <c r="C108" i="4" s="1"/>
  <c r="C109" i="4" s="1"/>
  <c r="C110" i="4" s="1"/>
  <c r="C111" i="4" s="1"/>
  <c r="C112" i="4" s="1"/>
  <c r="B104" i="4"/>
  <c r="B105" i="4" s="1"/>
  <c r="B106" i="4" s="1"/>
  <c r="B107" i="4" s="1"/>
  <c r="B108" i="4" s="1"/>
  <c r="B109" i="4" s="1"/>
  <c r="B110" i="4" s="1"/>
  <c r="B111" i="4" s="1"/>
  <c r="B112" i="4" s="1"/>
  <c r="L94" i="4"/>
  <c r="L95" i="4" s="1"/>
  <c r="L96" i="4" s="1"/>
  <c r="L97" i="4" s="1"/>
  <c r="L98" i="4" s="1"/>
  <c r="L99" i="4" s="1"/>
  <c r="L100" i="4" s="1"/>
  <c r="L101" i="4" s="1"/>
  <c r="L102" i="4" s="1"/>
  <c r="K94" i="4"/>
  <c r="K95" i="4" s="1"/>
  <c r="K96" i="4" s="1"/>
  <c r="K97" i="4" s="1"/>
  <c r="K98" i="4" s="1"/>
  <c r="K99" i="4" s="1"/>
  <c r="K100" i="4" s="1"/>
  <c r="K101" i="4" s="1"/>
  <c r="K102" i="4" s="1"/>
  <c r="J94" i="4"/>
  <c r="J95" i="4" s="1"/>
  <c r="J96" i="4" s="1"/>
  <c r="J97" i="4" s="1"/>
  <c r="J98" i="4" s="1"/>
  <c r="J99" i="4" s="1"/>
  <c r="J100" i="4" s="1"/>
  <c r="J101" i="4" s="1"/>
  <c r="J102" i="4" s="1"/>
  <c r="I94" i="4"/>
  <c r="I95" i="4" s="1"/>
  <c r="I96" i="4" s="1"/>
  <c r="I97" i="4" s="1"/>
  <c r="I98" i="4" s="1"/>
  <c r="I99" i="4" s="1"/>
  <c r="I100" i="4" s="1"/>
  <c r="I101" i="4" s="1"/>
  <c r="I102" i="4" s="1"/>
  <c r="H94" i="4"/>
  <c r="H95" i="4" s="1"/>
  <c r="H96" i="4" s="1"/>
  <c r="H97" i="4" s="1"/>
  <c r="H98" i="4" s="1"/>
  <c r="H99" i="4" s="1"/>
  <c r="H100" i="4" s="1"/>
  <c r="H101" i="4" s="1"/>
  <c r="H102" i="4" s="1"/>
  <c r="G94" i="4"/>
  <c r="G95" i="4" s="1"/>
  <c r="G96" i="4" s="1"/>
  <c r="G97" i="4" s="1"/>
  <c r="G98" i="4" s="1"/>
  <c r="G99" i="4" s="1"/>
  <c r="G100" i="4" s="1"/>
  <c r="G101" i="4" s="1"/>
  <c r="G102" i="4" s="1"/>
  <c r="F94" i="4"/>
  <c r="F95" i="4" s="1"/>
  <c r="F96" i="4" s="1"/>
  <c r="F97" i="4" s="1"/>
  <c r="F98" i="4" s="1"/>
  <c r="F99" i="4" s="1"/>
  <c r="F100" i="4" s="1"/>
  <c r="F101" i="4" s="1"/>
  <c r="F102" i="4" s="1"/>
  <c r="E94" i="4"/>
  <c r="E95" i="4" s="1"/>
  <c r="E96" i="4" s="1"/>
  <c r="E97" i="4" s="1"/>
  <c r="E98" i="4" s="1"/>
  <c r="E99" i="4" s="1"/>
  <c r="E100" i="4" s="1"/>
  <c r="E101" i="4" s="1"/>
  <c r="E102" i="4" s="1"/>
  <c r="D94" i="4"/>
  <c r="D95" i="4" s="1"/>
  <c r="D96" i="4" s="1"/>
  <c r="D97" i="4" s="1"/>
  <c r="D98" i="4" s="1"/>
  <c r="D99" i="4" s="1"/>
  <c r="D100" i="4" s="1"/>
  <c r="D101" i="4" s="1"/>
  <c r="D102" i="4" s="1"/>
  <c r="C94" i="4"/>
  <c r="C95" i="4" s="1"/>
  <c r="C96" i="4" s="1"/>
  <c r="C97" i="4" s="1"/>
  <c r="C98" i="4" s="1"/>
  <c r="C99" i="4" s="1"/>
  <c r="C100" i="4" s="1"/>
  <c r="C101" i="4" s="1"/>
  <c r="C102" i="4" s="1"/>
  <c r="B94" i="4"/>
  <c r="B95" i="4" s="1"/>
  <c r="B96" i="4" s="1"/>
  <c r="B97" i="4" s="1"/>
  <c r="B98" i="4" s="1"/>
  <c r="B99" i="4" s="1"/>
  <c r="B100" i="4" s="1"/>
  <c r="B101" i="4" s="1"/>
  <c r="B102" i="4" s="1"/>
  <c r="L84" i="4"/>
  <c r="L85" i="4" s="1"/>
  <c r="L86" i="4" s="1"/>
  <c r="L87" i="4" s="1"/>
  <c r="L88" i="4" s="1"/>
  <c r="L89" i="4" s="1"/>
  <c r="L90" i="4" s="1"/>
  <c r="L91" i="4" s="1"/>
  <c r="L92" i="4" s="1"/>
  <c r="K84" i="4"/>
  <c r="K85" i="4" s="1"/>
  <c r="K86" i="4" s="1"/>
  <c r="K87" i="4" s="1"/>
  <c r="K88" i="4" s="1"/>
  <c r="K89" i="4" s="1"/>
  <c r="K90" i="4" s="1"/>
  <c r="K91" i="4" s="1"/>
  <c r="K92" i="4" s="1"/>
  <c r="J84" i="4"/>
  <c r="J85" i="4" s="1"/>
  <c r="J86" i="4" s="1"/>
  <c r="J87" i="4" s="1"/>
  <c r="J88" i="4" s="1"/>
  <c r="J89" i="4" s="1"/>
  <c r="J90" i="4" s="1"/>
  <c r="J91" i="4" s="1"/>
  <c r="J92" i="4" s="1"/>
  <c r="I84" i="4"/>
  <c r="I85" i="4" s="1"/>
  <c r="I86" i="4" s="1"/>
  <c r="I87" i="4" s="1"/>
  <c r="I88" i="4" s="1"/>
  <c r="I89" i="4" s="1"/>
  <c r="I90" i="4" s="1"/>
  <c r="I91" i="4" s="1"/>
  <c r="I92" i="4" s="1"/>
  <c r="H84" i="4"/>
  <c r="H85" i="4" s="1"/>
  <c r="H86" i="4" s="1"/>
  <c r="H87" i="4" s="1"/>
  <c r="H88" i="4" s="1"/>
  <c r="H89" i="4" s="1"/>
  <c r="H90" i="4" s="1"/>
  <c r="H91" i="4" s="1"/>
  <c r="H92" i="4" s="1"/>
  <c r="G84" i="4"/>
  <c r="G85" i="4" s="1"/>
  <c r="G86" i="4" s="1"/>
  <c r="G87" i="4" s="1"/>
  <c r="G88" i="4" s="1"/>
  <c r="G89" i="4" s="1"/>
  <c r="G90" i="4" s="1"/>
  <c r="G91" i="4" s="1"/>
  <c r="G92" i="4" s="1"/>
  <c r="F84" i="4"/>
  <c r="F85" i="4" s="1"/>
  <c r="F86" i="4" s="1"/>
  <c r="F87" i="4" s="1"/>
  <c r="F88" i="4" s="1"/>
  <c r="F89" i="4" s="1"/>
  <c r="F90" i="4" s="1"/>
  <c r="F91" i="4" s="1"/>
  <c r="F92" i="4" s="1"/>
  <c r="E84" i="4"/>
  <c r="E85" i="4" s="1"/>
  <c r="E86" i="4" s="1"/>
  <c r="E87" i="4" s="1"/>
  <c r="E88" i="4" s="1"/>
  <c r="E89" i="4" s="1"/>
  <c r="E90" i="4" s="1"/>
  <c r="E91" i="4" s="1"/>
  <c r="E92" i="4" s="1"/>
  <c r="D84" i="4"/>
  <c r="D85" i="4" s="1"/>
  <c r="D86" i="4" s="1"/>
  <c r="D87" i="4" s="1"/>
  <c r="D88" i="4" s="1"/>
  <c r="D89" i="4" s="1"/>
  <c r="D90" i="4" s="1"/>
  <c r="D91" i="4" s="1"/>
  <c r="D92" i="4" s="1"/>
  <c r="C84" i="4"/>
  <c r="C85" i="4" s="1"/>
  <c r="C86" i="4" s="1"/>
  <c r="C87" i="4" s="1"/>
  <c r="C88" i="4" s="1"/>
  <c r="C89" i="4" s="1"/>
  <c r="C90" i="4" s="1"/>
  <c r="C91" i="4" s="1"/>
  <c r="C92" i="4" s="1"/>
  <c r="B84" i="4"/>
  <c r="B85" i="4" s="1"/>
  <c r="B86" i="4" s="1"/>
  <c r="B87" i="4" s="1"/>
  <c r="B88" i="4" s="1"/>
  <c r="B89" i="4" s="1"/>
  <c r="B90" i="4" s="1"/>
  <c r="B91" i="4" s="1"/>
  <c r="B92" i="4" s="1"/>
  <c r="J75" i="4"/>
  <c r="J76" i="4" s="1"/>
  <c r="J77" i="4" s="1"/>
  <c r="J78" i="4" s="1"/>
  <c r="J79" i="4" s="1"/>
  <c r="J80" i="4" s="1"/>
  <c r="J81" i="4" s="1"/>
  <c r="J82" i="4" s="1"/>
  <c r="L74" i="4"/>
  <c r="L75" i="4" s="1"/>
  <c r="L76" i="4" s="1"/>
  <c r="L77" i="4" s="1"/>
  <c r="L78" i="4" s="1"/>
  <c r="L79" i="4" s="1"/>
  <c r="L80" i="4" s="1"/>
  <c r="L81" i="4" s="1"/>
  <c r="L82" i="4" s="1"/>
  <c r="K74" i="4"/>
  <c r="K75" i="4" s="1"/>
  <c r="K76" i="4" s="1"/>
  <c r="K77" i="4" s="1"/>
  <c r="K78" i="4" s="1"/>
  <c r="K79" i="4" s="1"/>
  <c r="K80" i="4" s="1"/>
  <c r="K81" i="4" s="1"/>
  <c r="K82" i="4" s="1"/>
  <c r="J74" i="4"/>
  <c r="I74" i="4"/>
  <c r="I75" i="4" s="1"/>
  <c r="I76" i="4" s="1"/>
  <c r="I77" i="4" s="1"/>
  <c r="I78" i="4" s="1"/>
  <c r="I79" i="4" s="1"/>
  <c r="I80" i="4" s="1"/>
  <c r="I81" i="4" s="1"/>
  <c r="I82" i="4" s="1"/>
  <c r="H74" i="4"/>
  <c r="H75" i="4" s="1"/>
  <c r="H76" i="4" s="1"/>
  <c r="H77" i="4" s="1"/>
  <c r="H78" i="4" s="1"/>
  <c r="H79" i="4" s="1"/>
  <c r="H80" i="4" s="1"/>
  <c r="H81" i="4" s="1"/>
  <c r="H82" i="4" s="1"/>
  <c r="G74" i="4"/>
  <c r="G75" i="4" s="1"/>
  <c r="G76" i="4" s="1"/>
  <c r="G77" i="4" s="1"/>
  <c r="G78" i="4" s="1"/>
  <c r="G79" i="4" s="1"/>
  <c r="G80" i="4" s="1"/>
  <c r="G81" i="4" s="1"/>
  <c r="G82" i="4" s="1"/>
  <c r="F74" i="4"/>
  <c r="F75" i="4" s="1"/>
  <c r="F76" i="4" s="1"/>
  <c r="F77" i="4" s="1"/>
  <c r="F78" i="4" s="1"/>
  <c r="F79" i="4" s="1"/>
  <c r="F80" i="4" s="1"/>
  <c r="F81" i="4" s="1"/>
  <c r="F82" i="4" s="1"/>
  <c r="E74" i="4"/>
  <c r="E75" i="4" s="1"/>
  <c r="E76" i="4" s="1"/>
  <c r="E77" i="4" s="1"/>
  <c r="E78" i="4" s="1"/>
  <c r="E79" i="4" s="1"/>
  <c r="E80" i="4" s="1"/>
  <c r="E81" i="4" s="1"/>
  <c r="E82" i="4" s="1"/>
  <c r="D74" i="4"/>
  <c r="D75" i="4" s="1"/>
  <c r="D76" i="4" s="1"/>
  <c r="D77" i="4" s="1"/>
  <c r="D78" i="4" s="1"/>
  <c r="D79" i="4" s="1"/>
  <c r="D80" i="4" s="1"/>
  <c r="D81" i="4" s="1"/>
  <c r="D82" i="4" s="1"/>
  <c r="C74" i="4"/>
  <c r="C75" i="4" s="1"/>
  <c r="C76" i="4" s="1"/>
  <c r="C77" i="4" s="1"/>
  <c r="C78" i="4" s="1"/>
  <c r="C79" i="4" s="1"/>
  <c r="C80" i="4" s="1"/>
  <c r="C81" i="4" s="1"/>
  <c r="C82" i="4" s="1"/>
  <c r="B74" i="4"/>
  <c r="B75" i="4" s="1"/>
  <c r="B76" i="4" s="1"/>
  <c r="B77" i="4" s="1"/>
  <c r="B78" i="4" s="1"/>
  <c r="B79" i="4" s="1"/>
  <c r="B80" i="4" s="1"/>
  <c r="B81" i="4" s="1"/>
  <c r="B82" i="4" s="1"/>
  <c r="F65" i="4"/>
  <c r="F66" i="4" s="1"/>
  <c r="F67" i="4" s="1"/>
  <c r="F68" i="4" s="1"/>
  <c r="F69" i="4" s="1"/>
  <c r="F70" i="4" s="1"/>
  <c r="F71" i="4" s="1"/>
  <c r="F72" i="4" s="1"/>
  <c r="L64" i="4"/>
  <c r="L65" i="4" s="1"/>
  <c r="L66" i="4" s="1"/>
  <c r="L67" i="4" s="1"/>
  <c r="L68" i="4" s="1"/>
  <c r="L69" i="4" s="1"/>
  <c r="L70" i="4" s="1"/>
  <c r="L71" i="4" s="1"/>
  <c r="L72" i="4" s="1"/>
  <c r="K64" i="4"/>
  <c r="K65" i="4" s="1"/>
  <c r="K66" i="4" s="1"/>
  <c r="K67" i="4" s="1"/>
  <c r="K68" i="4" s="1"/>
  <c r="K69" i="4" s="1"/>
  <c r="K70" i="4" s="1"/>
  <c r="K71" i="4" s="1"/>
  <c r="K72" i="4" s="1"/>
  <c r="J64" i="4"/>
  <c r="J65" i="4" s="1"/>
  <c r="J66" i="4" s="1"/>
  <c r="J67" i="4" s="1"/>
  <c r="J68" i="4" s="1"/>
  <c r="J69" i="4" s="1"/>
  <c r="J70" i="4" s="1"/>
  <c r="J71" i="4" s="1"/>
  <c r="J72" i="4" s="1"/>
  <c r="I64" i="4"/>
  <c r="I65" i="4" s="1"/>
  <c r="I66" i="4" s="1"/>
  <c r="I67" i="4" s="1"/>
  <c r="I68" i="4" s="1"/>
  <c r="I69" i="4" s="1"/>
  <c r="I70" i="4" s="1"/>
  <c r="I71" i="4" s="1"/>
  <c r="I72" i="4" s="1"/>
  <c r="H64" i="4"/>
  <c r="H65" i="4" s="1"/>
  <c r="H66" i="4" s="1"/>
  <c r="H67" i="4" s="1"/>
  <c r="H68" i="4" s="1"/>
  <c r="H69" i="4" s="1"/>
  <c r="H70" i="4" s="1"/>
  <c r="H71" i="4" s="1"/>
  <c r="H72" i="4" s="1"/>
  <c r="G64" i="4"/>
  <c r="G65" i="4" s="1"/>
  <c r="G66" i="4" s="1"/>
  <c r="G67" i="4" s="1"/>
  <c r="G68" i="4" s="1"/>
  <c r="G69" i="4" s="1"/>
  <c r="G70" i="4" s="1"/>
  <c r="G71" i="4" s="1"/>
  <c r="G72" i="4" s="1"/>
  <c r="F64" i="4"/>
  <c r="E64" i="4"/>
  <c r="E65" i="4" s="1"/>
  <c r="E66" i="4" s="1"/>
  <c r="E67" i="4" s="1"/>
  <c r="E68" i="4" s="1"/>
  <c r="E69" i="4" s="1"/>
  <c r="E70" i="4" s="1"/>
  <c r="E71" i="4" s="1"/>
  <c r="E72" i="4" s="1"/>
  <c r="D64" i="4"/>
  <c r="D65" i="4" s="1"/>
  <c r="D66" i="4" s="1"/>
  <c r="D67" i="4" s="1"/>
  <c r="D68" i="4" s="1"/>
  <c r="D69" i="4" s="1"/>
  <c r="D70" i="4" s="1"/>
  <c r="D71" i="4" s="1"/>
  <c r="D72" i="4" s="1"/>
  <c r="C64" i="4"/>
  <c r="C65" i="4" s="1"/>
  <c r="C66" i="4" s="1"/>
  <c r="C67" i="4" s="1"/>
  <c r="C68" i="4" s="1"/>
  <c r="C69" i="4" s="1"/>
  <c r="C70" i="4" s="1"/>
  <c r="C71" i="4" s="1"/>
  <c r="C72" i="4" s="1"/>
  <c r="B64" i="4"/>
  <c r="B65" i="4" s="1"/>
  <c r="B66" i="4" s="1"/>
  <c r="B67" i="4" s="1"/>
  <c r="B68" i="4" s="1"/>
  <c r="B69" i="4" s="1"/>
  <c r="B70" i="4" s="1"/>
  <c r="B71" i="4" s="1"/>
  <c r="B72" i="4" s="1"/>
  <c r="G55" i="4"/>
  <c r="G56" i="4" s="1"/>
  <c r="G57" i="4" s="1"/>
  <c r="G58" i="4" s="1"/>
  <c r="G59" i="4" s="1"/>
  <c r="G60" i="4" s="1"/>
  <c r="G61" i="4" s="1"/>
  <c r="G62" i="4" s="1"/>
  <c r="L54" i="4"/>
  <c r="L55" i="4" s="1"/>
  <c r="L56" i="4" s="1"/>
  <c r="L57" i="4" s="1"/>
  <c r="L58" i="4" s="1"/>
  <c r="L59" i="4" s="1"/>
  <c r="L60" i="4" s="1"/>
  <c r="L61" i="4" s="1"/>
  <c r="L62" i="4" s="1"/>
  <c r="K54" i="4"/>
  <c r="K55" i="4" s="1"/>
  <c r="K56" i="4" s="1"/>
  <c r="K57" i="4" s="1"/>
  <c r="K58" i="4" s="1"/>
  <c r="K59" i="4" s="1"/>
  <c r="K60" i="4" s="1"/>
  <c r="K61" i="4" s="1"/>
  <c r="K62" i="4" s="1"/>
  <c r="J54" i="4"/>
  <c r="J55" i="4" s="1"/>
  <c r="J56" i="4" s="1"/>
  <c r="J57" i="4" s="1"/>
  <c r="J58" i="4" s="1"/>
  <c r="J59" i="4" s="1"/>
  <c r="J60" i="4" s="1"/>
  <c r="J61" i="4" s="1"/>
  <c r="J62" i="4" s="1"/>
  <c r="I54" i="4"/>
  <c r="I55" i="4" s="1"/>
  <c r="I56" i="4" s="1"/>
  <c r="I57" i="4" s="1"/>
  <c r="I58" i="4" s="1"/>
  <c r="I59" i="4" s="1"/>
  <c r="I60" i="4" s="1"/>
  <c r="I61" i="4" s="1"/>
  <c r="I62" i="4" s="1"/>
  <c r="H54" i="4"/>
  <c r="H55" i="4" s="1"/>
  <c r="H56" i="4" s="1"/>
  <c r="H57" i="4" s="1"/>
  <c r="H58" i="4" s="1"/>
  <c r="H59" i="4" s="1"/>
  <c r="H60" i="4" s="1"/>
  <c r="H61" i="4" s="1"/>
  <c r="H62" i="4" s="1"/>
  <c r="G54" i="4"/>
  <c r="F54" i="4"/>
  <c r="F55" i="4" s="1"/>
  <c r="F56" i="4" s="1"/>
  <c r="F57" i="4" s="1"/>
  <c r="F58" i="4" s="1"/>
  <c r="F59" i="4" s="1"/>
  <c r="F60" i="4" s="1"/>
  <c r="F61" i="4" s="1"/>
  <c r="F62" i="4" s="1"/>
  <c r="E54" i="4"/>
  <c r="E55" i="4" s="1"/>
  <c r="E56" i="4" s="1"/>
  <c r="E57" i="4" s="1"/>
  <c r="E58" i="4" s="1"/>
  <c r="E59" i="4" s="1"/>
  <c r="E60" i="4" s="1"/>
  <c r="E61" i="4" s="1"/>
  <c r="E62" i="4" s="1"/>
  <c r="D54" i="4"/>
  <c r="D55" i="4" s="1"/>
  <c r="D56" i="4" s="1"/>
  <c r="D57" i="4" s="1"/>
  <c r="D58" i="4" s="1"/>
  <c r="D59" i="4" s="1"/>
  <c r="D60" i="4" s="1"/>
  <c r="D61" i="4" s="1"/>
  <c r="D62" i="4" s="1"/>
  <c r="C54" i="4"/>
  <c r="C55" i="4" s="1"/>
  <c r="C56" i="4" s="1"/>
  <c r="C57" i="4" s="1"/>
  <c r="C58" i="4" s="1"/>
  <c r="C59" i="4" s="1"/>
  <c r="C60" i="4" s="1"/>
  <c r="C61" i="4" s="1"/>
  <c r="C62" i="4" s="1"/>
  <c r="B54" i="4"/>
  <c r="B55" i="4" s="1"/>
  <c r="B56" i="4" s="1"/>
  <c r="B57" i="4" s="1"/>
  <c r="B58" i="4" s="1"/>
  <c r="B59" i="4" s="1"/>
  <c r="B60" i="4" s="1"/>
  <c r="B61" i="4" s="1"/>
  <c r="B62" i="4" s="1"/>
  <c r="L44" i="4"/>
  <c r="L45" i="4" s="1"/>
  <c r="L46" i="4" s="1"/>
  <c r="L47" i="4" s="1"/>
  <c r="L48" i="4" s="1"/>
  <c r="L49" i="4" s="1"/>
  <c r="L50" i="4" s="1"/>
  <c r="L51" i="4" s="1"/>
  <c r="L52" i="4" s="1"/>
  <c r="K44" i="4"/>
  <c r="K45" i="4" s="1"/>
  <c r="K46" i="4" s="1"/>
  <c r="K47" i="4" s="1"/>
  <c r="K48" i="4" s="1"/>
  <c r="K49" i="4" s="1"/>
  <c r="K50" i="4" s="1"/>
  <c r="K51" i="4" s="1"/>
  <c r="K52" i="4" s="1"/>
  <c r="J44" i="4"/>
  <c r="J45" i="4" s="1"/>
  <c r="J46" i="4" s="1"/>
  <c r="J47" i="4" s="1"/>
  <c r="J48" i="4" s="1"/>
  <c r="J49" i="4" s="1"/>
  <c r="J50" i="4" s="1"/>
  <c r="J51" i="4" s="1"/>
  <c r="J52" i="4" s="1"/>
  <c r="I44" i="4"/>
  <c r="I45" i="4" s="1"/>
  <c r="I46" i="4" s="1"/>
  <c r="I47" i="4" s="1"/>
  <c r="I48" i="4" s="1"/>
  <c r="I49" i="4" s="1"/>
  <c r="I50" i="4" s="1"/>
  <c r="I51" i="4" s="1"/>
  <c r="I52" i="4" s="1"/>
  <c r="H44" i="4"/>
  <c r="H45" i="4" s="1"/>
  <c r="H46" i="4" s="1"/>
  <c r="H47" i="4" s="1"/>
  <c r="H48" i="4" s="1"/>
  <c r="H49" i="4" s="1"/>
  <c r="H50" i="4" s="1"/>
  <c r="H51" i="4" s="1"/>
  <c r="H52" i="4" s="1"/>
  <c r="G44" i="4"/>
  <c r="G45" i="4" s="1"/>
  <c r="G46" i="4" s="1"/>
  <c r="G47" i="4" s="1"/>
  <c r="G48" i="4" s="1"/>
  <c r="G49" i="4" s="1"/>
  <c r="G50" i="4" s="1"/>
  <c r="G51" i="4" s="1"/>
  <c r="G52" i="4" s="1"/>
  <c r="F44" i="4"/>
  <c r="F45" i="4" s="1"/>
  <c r="F46" i="4" s="1"/>
  <c r="F47" i="4" s="1"/>
  <c r="F48" i="4" s="1"/>
  <c r="F49" i="4" s="1"/>
  <c r="F50" i="4" s="1"/>
  <c r="F51" i="4" s="1"/>
  <c r="F52" i="4" s="1"/>
  <c r="E44" i="4"/>
  <c r="E45" i="4" s="1"/>
  <c r="E46" i="4" s="1"/>
  <c r="E47" i="4" s="1"/>
  <c r="E48" i="4" s="1"/>
  <c r="E49" i="4" s="1"/>
  <c r="E50" i="4" s="1"/>
  <c r="E51" i="4" s="1"/>
  <c r="E52" i="4" s="1"/>
  <c r="D44" i="4"/>
  <c r="D45" i="4" s="1"/>
  <c r="D46" i="4" s="1"/>
  <c r="D47" i="4" s="1"/>
  <c r="D48" i="4" s="1"/>
  <c r="D49" i="4" s="1"/>
  <c r="D50" i="4" s="1"/>
  <c r="D51" i="4" s="1"/>
  <c r="D52" i="4" s="1"/>
  <c r="C44" i="4"/>
  <c r="C45" i="4" s="1"/>
  <c r="C46" i="4" s="1"/>
  <c r="C47" i="4" s="1"/>
  <c r="C48" i="4" s="1"/>
  <c r="C49" i="4" s="1"/>
  <c r="C50" i="4" s="1"/>
  <c r="C51" i="4" s="1"/>
  <c r="C52" i="4" s="1"/>
  <c r="B44" i="4"/>
  <c r="B45" i="4" s="1"/>
  <c r="B46" i="4" s="1"/>
  <c r="B47" i="4" s="1"/>
  <c r="B48" i="4" s="1"/>
  <c r="B49" i="4" s="1"/>
  <c r="B50" i="4" s="1"/>
  <c r="B51" i="4" s="1"/>
  <c r="B52" i="4" s="1"/>
  <c r="L34" i="4"/>
  <c r="L35" i="4" s="1"/>
  <c r="L36" i="4" s="1"/>
  <c r="L37" i="4" s="1"/>
  <c r="L38" i="4" s="1"/>
  <c r="L39" i="4" s="1"/>
  <c r="L40" i="4" s="1"/>
  <c r="L41" i="4" s="1"/>
  <c r="L42" i="4" s="1"/>
  <c r="K34" i="4"/>
  <c r="K35" i="4" s="1"/>
  <c r="K36" i="4" s="1"/>
  <c r="K37" i="4" s="1"/>
  <c r="K38" i="4" s="1"/>
  <c r="K39" i="4" s="1"/>
  <c r="K40" i="4" s="1"/>
  <c r="K41" i="4" s="1"/>
  <c r="K42" i="4" s="1"/>
  <c r="J34" i="4"/>
  <c r="J35" i="4" s="1"/>
  <c r="J36" i="4" s="1"/>
  <c r="J37" i="4" s="1"/>
  <c r="J38" i="4" s="1"/>
  <c r="J39" i="4" s="1"/>
  <c r="J40" i="4" s="1"/>
  <c r="J41" i="4" s="1"/>
  <c r="J42" i="4" s="1"/>
  <c r="I34" i="4"/>
  <c r="I35" i="4" s="1"/>
  <c r="I36" i="4" s="1"/>
  <c r="I37" i="4" s="1"/>
  <c r="I38" i="4" s="1"/>
  <c r="I39" i="4" s="1"/>
  <c r="I40" i="4" s="1"/>
  <c r="I41" i="4" s="1"/>
  <c r="I42" i="4" s="1"/>
  <c r="H34" i="4"/>
  <c r="H35" i="4" s="1"/>
  <c r="H36" i="4" s="1"/>
  <c r="H37" i="4" s="1"/>
  <c r="H38" i="4" s="1"/>
  <c r="H39" i="4" s="1"/>
  <c r="H40" i="4" s="1"/>
  <c r="H41" i="4" s="1"/>
  <c r="H42" i="4" s="1"/>
  <c r="G34" i="4"/>
  <c r="G35" i="4" s="1"/>
  <c r="G36" i="4" s="1"/>
  <c r="G37" i="4" s="1"/>
  <c r="G38" i="4" s="1"/>
  <c r="G39" i="4" s="1"/>
  <c r="G40" i="4" s="1"/>
  <c r="G41" i="4" s="1"/>
  <c r="G42" i="4" s="1"/>
  <c r="F34" i="4"/>
  <c r="F35" i="4" s="1"/>
  <c r="F36" i="4" s="1"/>
  <c r="F37" i="4" s="1"/>
  <c r="F38" i="4" s="1"/>
  <c r="F39" i="4" s="1"/>
  <c r="F40" i="4" s="1"/>
  <c r="F41" i="4" s="1"/>
  <c r="F42" i="4" s="1"/>
  <c r="E34" i="4"/>
  <c r="E35" i="4" s="1"/>
  <c r="E36" i="4" s="1"/>
  <c r="E37" i="4" s="1"/>
  <c r="E38" i="4" s="1"/>
  <c r="E39" i="4" s="1"/>
  <c r="E40" i="4" s="1"/>
  <c r="E41" i="4" s="1"/>
  <c r="E42" i="4" s="1"/>
  <c r="D34" i="4"/>
  <c r="D35" i="4" s="1"/>
  <c r="D36" i="4" s="1"/>
  <c r="D37" i="4" s="1"/>
  <c r="D38" i="4" s="1"/>
  <c r="D39" i="4" s="1"/>
  <c r="D40" i="4" s="1"/>
  <c r="D41" i="4" s="1"/>
  <c r="D42" i="4" s="1"/>
  <c r="C34" i="4"/>
  <c r="C35" i="4" s="1"/>
  <c r="C36" i="4" s="1"/>
  <c r="C37" i="4" s="1"/>
  <c r="C38" i="4" s="1"/>
  <c r="C39" i="4" s="1"/>
  <c r="C40" i="4" s="1"/>
  <c r="C41" i="4" s="1"/>
  <c r="C42" i="4" s="1"/>
  <c r="B34" i="4"/>
  <c r="B35" i="4" s="1"/>
  <c r="B36" i="4" s="1"/>
  <c r="B37" i="4" s="1"/>
  <c r="B38" i="4" s="1"/>
  <c r="B39" i="4" s="1"/>
  <c r="B40" i="4" s="1"/>
  <c r="B41" i="4" s="1"/>
  <c r="B42" i="4" s="1"/>
  <c r="H25" i="4"/>
  <c r="H26" i="4" s="1"/>
  <c r="H27" i="4" s="1"/>
  <c r="H28" i="4" s="1"/>
  <c r="H29" i="4" s="1"/>
  <c r="H30" i="4" s="1"/>
  <c r="H31" i="4" s="1"/>
  <c r="H32" i="4" s="1"/>
  <c r="L24" i="4"/>
  <c r="L25" i="4" s="1"/>
  <c r="L26" i="4" s="1"/>
  <c r="L27" i="4" s="1"/>
  <c r="L28" i="4" s="1"/>
  <c r="L29" i="4" s="1"/>
  <c r="L30" i="4" s="1"/>
  <c r="L31" i="4" s="1"/>
  <c r="L32" i="4" s="1"/>
  <c r="K24" i="4"/>
  <c r="K25" i="4" s="1"/>
  <c r="K26" i="4" s="1"/>
  <c r="K27" i="4" s="1"/>
  <c r="K28" i="4" s="1"/>
  <c r="K29" i="4" s="1"/>
  <c r="K30" i="4" s="1"/>
  <c r="K31" i="4" s="1"/>
  <c r="K32" i="4" s="1"/>
  <c r="J24" i="4"/>
  <c r="J25" i="4" s="1"/>
  <c r="J26" i="4" s="1"/>
  <c r="J27" i="4" s="1"/>
  <c r="J28" i="4" s="1"/>
  <c r="J29" i="4" s="1"/>
  <c r="J30" i="4" s="1"/>
  <c r="J31" i="4" s="1"/>
  <c r="J32" i="4" s="1"/>
  <c r="I24" i="4"/>
  <c r="I25" i="4" s="1"/>
  <c r="I26" i="4" s="1"/>
  <c r="I27" i="4" s="1"/>
  <c r="I28" i="4" s="1"/>
  <c r="I29" i="4" s="1"/>
  <c r="I30" i="4" s="1"/>
  <c r="I31" i="4" s="1"/>
  <c r="I32" i="4" s="1"/>
  <c r="H24" i="4"/>
  <c r="G24" i="4"/>
  <c r="G25" i="4" s="1"/>
  <c r="G26" i="4" s="1"/>
  <c r="G27" i="4" s="1"/>
  <c r="G28" i="4" s="1"/>
  <c r="G29" i="4" s="1"/>
  <c r="G30" i="4" s="1"/>
  <c r="G31" i="4" s="1"/>
  <c r="G32" i="4" s="1"/>
  <c r="F24" i="4"/>
  <c r="F25" i="4" s="1"/>
  <c r="F26" i="4" s="1"/>
  <c r="F27" i="4" s="1"/>
  <c r="F28" i="4" s="1"/>
  <c r="F29" i="4" s="1"/>
  <c r="F30" i="4" s="1"/>
  <c r="F31" i="4" s="1"/>
  <c r="F32" i="4" s="1"/>
  <c r="E24" i="4"/>
  <c r="E25" i="4" s="1"/>
  <c r="E26" i="4" s="1"/>
  <c r="E27" i="4" s="1"/>
  <c r="E28" i="4" s="1"/>
  <c r="E29" i="4" s="1"/>
  <c r="E30" i="4" s="1"/>
  <c r="E31" i="4" s="1"/>
  <c r="E32" i="4" s="1"/>
  <c r="D24" i="4"/>
  <c r="D25" i="4" s="1"/>
  <c r="D26" i="4" s="1"/>
  <c r="D27" i="4" s="1"/>
  <c r="D28" i="4" s="1"/>
  <c r="D29" i="4" s="1"/>
  <c r="D30" i="4" s="1"/>
  <c r="D31" i="4" s="1"/>
  <c r="D32" i="4" s="1"/>
  <c r="C24" i="4"/>
  <c r="C25" i="4" s="1"/>
  <c r="C26" i="4" s="1"/>
  <c r="C27" i="4" s="1"/>
  <c r="C28" i="4" s="1"/>
  <c r="C29" i="4" s="1"/>
  <c r="C30" i="4" s="1"/>
  <c r="C31" i="4" s="1"/>
  <c r="C32" i="4" s="1"/>
  <c r="B24" i="4"/>
  <c r="B25" i="4" s="1"/>
  <c r="B26" i="4" s="1"/>
  <c r="B27" i="4" s="1"/>
  <c r="B28" i="4" s="1"/>
  <c r="B29" i="4" s="1"/>
  <c r="B30" i="4" s="1"/>
  <c r="B31" i="4" s="1"/>
  <c r="B32" i="4" s="1"/>
  <c r="L14" i="4"/>
  <c r="L15" i="4" s="1"/>
  <c r="L16" i="4" s="1"/>
  <c r="L17" i="4" s="1"/>
  <c r="L18" i="4" s="1"/>
  <c r="L19" i="4" s="1"/>
  <c r="L20" i="4" s="1"/>
  <c r="L21" i="4" s="1"/>
  <c r="L22" i="4" s="1"/>
  <c r="K14" i="4"/>
  <c r="K15" i="4" s="1"/>
  <c r="K16" i="4" s="1"/>
  <c r="K17" i="4" s="1"/>
  <c r="K18" i="4" s="1"/>
  <c r="K19" i="4" s="1"/>
  <c r="K20" i="4" s="1"/>
  <c r="K21" i="4" s="1"/>
  <c r="K22" i="4" s="1"/>
  <c r="J14" i="4"/>
  <c r="J15" i="4" s="1"/>
  <c r="J16" i="4" s="1"/>
  <c r="J17" i="4" s="1"/>
  <c r="J18" i="4" s="1"/>
  <c r="J19" i="4" s="1"/>
  <c r="J20" i="4" s="1"/>
  <c r="J21" i="4" s="1"/>
  <c r="J22" i="4" s="1"/>
  <c r="I14" i="4"/>
  <c r="I15" i="4" s="1"/>
  <c r="I16" i="4" s="1"/>
  <c r="I17" i="4" s="1"/>
  <c r="I18" i="4" s="1"/>
  <c r="I19" i="4" s="1"/>
  <c r="I20" i="4" s="1"/>
  <c r="I21" i="4" s="1"/>
  <c r="I22" i="4" s="1"/>
  <c r="H14" i="4"/>
  <c r="H15" i="4" s="1"/>
  <c r="H16" i="4" s="1"/>
  <c r="H17" i="4" s="1"/>
  <c r="H18" i="4" s="1"/>
  <c r="H19" i="4" s="1"/>
  <c r="H20" i="4" s="1"/>
  <c r="H21" i="4" s="1"/>
  <c r="H22" i="4" s="1"/>
  <c r="G14" i="4"/>
  <c r="G15" i="4" s="1"/>
  <c r="G16" i="4" s="1"/>
  <c r="G17" i="4" s="1"/>
  <c r="G18" i="4" s="1"/>
  <c r="G19" i="4" s="1"/>
  <c r="G20" i="4" s="1"/>
  <c r="G21" i="4" s="1"/>
  <c r="G22" i="4" s="1"/>
  <c r="F14" i="4"/>
  <c r="F15" i="4" s="1"/>
  <c r="F16" i="4" s="1"/>
  <c r="F17" i="4" s="1"/>
  <c r="F18" i="4" s="1"/>
  <c r="F19" i="4" s="1"/>
  <c r="F20" i="4" s="1"/>
  <c r="F21" i="4" s="1"/>
  <c r="F22" i="4" s="1"/>
  <c r="E14" i="4"/>
  <c r="E15" i="4" s="1"/>
  <c r="E16" i="4" s="1"/>
  <c r="E17" i="4" s="1"/>
  <c r="E18" i="4" s="1"/>
  <c r="E19" i="4" s="1"/>
  <c r="E20" i="4" s="1"/>
  <c r="E21" i="4" s="1"/>
  <c r="E22" i="4" s="1"/>
  <c r="D14" i="4"/>
  <c r="D15" i="4" s="1"/>
  <c r="D16" i="4" s="1"/>
  <c r="D17" i="4" s="1"/>
  <c r="D18" i="4" s="1"/>
  <c r="D19" i="4" s="1"/>
  <c r="D20" i="4" s="1"/>
  <c r="D21" i="4" s="1"/>
  <c r="D22" i="4" s="1"/>
  <c r="C14" i="4"/>
  <c r="C15" i="4" s="1"/>
  <c r="C16" i="4" s="1"/>
  <c r="C17" i="4" s="1"/>
  <c r="C18" i="4" s="1"/>
  <c r="C19" i="4" s="1"/>
  <c r="C20" i="4" s="1"/>
  <c r="C21" i="4" s="1"/>
  <c r="C22" i="4" s="1"/>
  <c r="B14" i="4"/>
  <c r="B15" i="4" s="1"/>
  <c r="B16" i="4" s="1"/>
  <c r="B17" i="4" s="1"/>
  <c r="B18" i="4" s="1"/>
  <c r="B19" i="4" s="1"/>
  <c r="B20" i="4" s="1"/>
  <c r="B21" i="4" s="1"/>
  <c r="B22" i="4" s="1"/>
  <c r="L4" i="4"/>
  <c r="L5" i="4" s="1"/>
  <c r="L6" i="4" s="1"/>
  <c r="L7" i="4" s="1"/>
  <c r="L8" i="4" s="1"/>
  <c r="L9" i="4" s="1"/>
  <c r="L10" i="4" s="1"/>
  <c r="L11" i="4" s="1"/>
  <c r="L12" i="4" s="1"/>
  <c r="K4" i="4"/>
  <c r="K5" i="4" s="1"/>
  <c r="K6" i="4" s="1"/>
  <c r="K7" i="4" s="1"/>
  <c r="K8" i="4" s="1"/>
  <c r="K9" i="4" s="1"/>
  <c r="K10" i="4" s="1"/>
  <c r="K11" i="4" s="1"/>
  <c r="K12" i="4" s="1"/>
  <c r="J4" i="4"/>
  <c r="J5" i="4" s="1"/>
  <c r="J6" i="4" s="1"/>
  <c r="J7" i="4" s="1"/>
  <c r="J8" i="4" s="1"/>
  <c r="J9" i="4" s="1"/>
  <c r="J10" i="4" s="1"/>
  <c r="J11" i="4" s="1"/>
  <c r="J12" i="4" s="1"/>
  <c r="I4" i="4"/>
  <c r="I5" i="4" s="1"/>
  <c r="I6" i="4" s="1"/>
  <c r="I7" i="4" s="1"/>
  <c r="I8" i="4" s="1"/>
  <c r="I9" i="4" s="1"/>
  <c r="I10" i="4" s="1"/>
  <c r="I11" i="4" s="1"/>
  <c r="I12" i="4" s="1"/>
  <c r="H4" i="4"/>
  <c r="H5" i="4" s="1"/>
  <c r="H6" i="4" s="1"/>
  <c r="H7" i="4" s="1"/>
  <c r="H8" i="4" s="1"/>
  <c r="H9" i="4" s="1"/>
  <c r="H10" i="4" s="1"/>
  <c r="H11" i="4" s="1"/>
  <c r="H12" i="4" s="1"/>
  <c r="G4" i="4"/>
  <c r="G5" i="4" s="1"/>
  <c r="G6" i="4" s="1"/>
  <c r="G7" i="4" s="1"/>
  <c r="G8" i="4" s="1"/>
  <c r="G9" i="4" s="1"/>
  <c r="G10" i="4" s="1"/>
  <c r="G11" i="4" s="1"/>
  <c r="G12" i="4" s="1"/>
  <c r="F4" i="4"/>
  <c r="F5" i="4" s="1"/>
  <c r="F6" i="4" s="1"/>
  <c r="F7" i="4" s="1"/>
  <c r="F8" i="4" s="1"/>
  <c r="F9" i="4" s="1"/>
  <c r="F10" i="4" s="1"/>
  <c r="F11" i="4" s="1"/>
  <c r="F12" i="4" s="1"/>
  <c r="E4" i="4"/>
  <c r="E5" i="4" s="1"/>
  <c r="E6" i="4" s="1"/>
  <c r="E7" i="4" s="1"/>
  <c r="E8" i="4" s="1"/>
  <c r="E9" i="4" s="1"/>
  <c r="E10" i="4" s="1"/>
  <c r="E11" i="4" s="1"/>
  <c r="E12" i="4" s="1"/>
  <c r="D4" i="4"/>
  <c r="D5" i="4" s="1"/>
  <c r="D6" i="4" s="1"/>
  <c r="D7" i="4" s="1"/>
  <c r="D8" i="4" s="1"/>
  <c r="D9" i="4" s="1"/>
  <c r="D10" i="4" s="1"/>
  <c r="D11" i="4" s="1"/>
  <c r="D12" i="4" s="1"/>
  <c r="C4" i="4"/>
  <c r="C5" i="4" s="1"/>
  <c r="C6" i="4" s="1"/>
  <c r="C7" i="4" s="1"/>
  <c r="C8" i="4" s="1"/>
  <c r="C9" i="4" s="1"/>
  <c r="C10" i="4" s="1"/>
  <c r="C11" i="4" s="1"/>
  <c r="C12" i="4" s="1"/>
  <c r="B4" i="4"/>
  <c r="B5" i="4" s="1"/>
  <c r="B6" i="4" s="1"/>
  <c r="B7" i="4" s="1"/>
  <c r="B8" i="4" s="1"/>
  <c r="B9" i="4" s="1"/>
  <c r="B10" i="4" s="1"/>
  <c r="B11" i="4" s="1"/>
  <c r="B12" i="4" s="1"/>
  <c r="F115" i="2"/>
  <c r="F116" i="2" s="1"/>
  <c r="F117" i="2" s="1"/>
  <c r="F118" i="2" s="1"/>
  <c r="F119" i="2" s="1"/>
  <c r="F120" i="2" s="1"/>
  <c r="F121" i="2" s="1"/>
  <c r="F122" i="2" s="1"/>
  <c r="F95" i="2"/>
  <c r="F96" i="2" s="1"/>
  <c r="F97" i="2" s="1"/>
  <c r="F98" i="2" s="1"/>
  <c r="F99" i="2" s="1"/>
  <c r="F100" i="2" s="1"/>
  <c r="F101" i="2" s="1"/>
  <c r="F102" i="2" s="1"/>
  <c r="E125" i="2"/>
  <c r="E126" i="2" s="1"/>
  <c r="E127" i="2" s="1"/>
  <c r="E128" i="2" s="1"/>
  <c r="E129" i="2" s="1"/>
  <c r="E130" i="2" s="1"/>
  <c r="E131" i="2" s="1"/>
  <c r="E132" i="2" s="1"/>
  <c r="E115" i="2"/>
  <c r="E116" i="2" s="1"/>
  <c r="E117" i="2" s="1"/>
  <c r="E118" i="2" s="1"/>
  <c r="E119" i="2" s="1"/>
  <c r="E120" i="2" s="1"/>
  <c r="E121" i="2" s="1"/>
  <c r="E122" i="2" s="1"/>
  <c r="E95" i="2"/>
  <c r="E96" i="2" s="1"/>
  <c r="E97" i="2" s="1"/>
  <c r="E98" i="2" s="1"/>
  <c r="E99" i="2" s="1"/>
  <c r="E100" i="2" s="1"/>
  <c r="E101" i="2" s="1"/>
  <c r="E102" i="2" s="1"/>
  <c r="E75" i="2"/>
  <c r="E76" i="2" s="1"/>
  <c r="E77" i="2" s="1"/>
  <c r="E78" i="2" s="1"/>
  <c r="E79" i="2" s="1"/>
  <c r="E80" i="2" s="1"/>
  <c r="E81" i="2" s="1"/>
  <c r="E82" i="2" s="1"/>
  <c r="E15" i="2"/>
  <c r="E16" i="2" s="1"/>
  <c r="E17" i="2" s="1"/>
  <c r="E18" i="2" s="1"/>
  <c r="E19" i="2" s="1"/>
  <c r="E20" i="2" s="1"/>
  <c r="E21" i="2" s="1"/>
  <c r="E22" i="2" s="1"/>
  <c r="D125" i="2"/>
  <c r="D126" i="2" s="1"/>
  <c r="D127" i="2" s="1"/>
  <c r="D128" i="2" s="1"/>
  <c r="D129" i="2" s="1"/>
  <c r="D130" i="2" s="1"/>
  <c r="D131" i="2" s="1"/>
  <c r="D132" i="2" s="1"/>
  <c r="D95" i="2"/>
  <c r="D96" i="2" s="1"/>
  <c r="D97" i="2" s="1"/>
  <c r="D98" i="2" s="1"/>
  <c r="D99" i="2" s="1"/>
  <c r="D100" i="2" s="1"/>
  <c r="D101" i="2" s="1"/>
  <c r="D102" i="2" s="1"/>
  <c r="D55" i="2"/>
  <c r="D56" i="2" s="1"/>
  <c r="D57" i="2" s="1"/>
  <c r="D58" i="2" s="1"/>
  <c r="D59" i="2" s="1"/>
  <c r="D60" i="2" s="1"/>
  <c r="D61" i="2" s="1"/>
  <c r="D62" i="2" s="1"/>
  <c r="B125" i="2"/>
  <c r="B126" i="2" s="1"/>
  <c r="B127" i="2" s="1"/>
  <c r="B128" i="2" s="1"/>
  <c r="B129" i="2" s="1"/>
  <c r="B130" i="2" s="1"/>
  <c r="B131" i="2" s="1"/>
  <c r="B132" i="2" s="1"/>
  <c r="B124" i="2"/>
  <c r="C124" i="2"/>
  <c r="C125" i="2" s="1"/>
  <c r="C126" i="2" s="1"/>
  <c r="C127" i="2" s="1"/>
  <c r="C128" i="2" s="1"/>
  <c r="C129" i="2" s="1"/>
  <c r="C130" i="2" s="1"/>
  <c r="C131" i="2" s="1"/>
  <c r="C132" i="2" s="1"/>
  <c r="D124" i="2"/>
  <c r="E124" i="2"/>
  <c r="F124" i="2"/>
  <c r="F125" i="2" s="1"/>
  <c r="F126" i="2" s="1"/>
  <c r="F127" i="2" s="1"/>
  <c r="F128" i="2" s="1"/>
  <c r="F129" i="2" s="1"/>
  <c r="F130" i="2" s="1"/>
  <c r="F131" i="2" s="1"/>
  <c r="F132" i="2" s="1"/>
  <c r="B114" i="2"/>
  <c r="B115" i="2" s="1"/>
  <c r="B116" i="2" s="1"/>
  <c r="B117" i="2" s="1"/>
  <c r="B118" i="2" s="1"/>
  <c r="B119" i="2" s="1"/>
  <c r="B120" i="2" s="1"/>
  <c r="B121" i="2" s="1"/>
  <c r="B122" i="2" s="1"/>
  <c r="C114" i="2"/>
  <c r="C115" i="2" s="1"/>
  <c r="C116" i="2" s="1"/>
  <c r="C117" i="2" s="1"/>
  <c r="C118" i="2" s="1"/>
  <c r="C119" i="2" s="1"/>
  <c r="C120" i="2" s="1"/>
  <c r="C121" i="2" s="1"/>
  <c r="C122" i="2" s="1"/>
  <c r="D114" i="2"/>
  <c r="D115" i="2" s="1"/>
  <c r="D116" i="2" s="1"/>
  <c r="D117" i="2" s="1"/>
  <c r="D118" i="2" s="1"/>
  <c r="D119" i="2" s="1"/>
  <c r="D120" i="2" s="1"/>
  <c r="D121" i="2" s="1"/>
  <c r="D122" i="2" s="1"/>
  <c r="E114" i="2"/>
  <c r="F114" i="2"/>
  <c r="B105" i="2"/>
  <c r="B106" i="2" s="1"/>
  <c r="B107" i="2" s="1"/>
  <c r="B108" i="2" s="1"/>
  <c r="B109" i="2" s="1"/>
  <c r="B110" i="2" s="1"/>
  <c r="B111" i="2" s="1"/>
  <c r="B112" i="2" s="1"/>
  <c r="B104" i="2"/>
  <c r="C104" i="2"/>
  <c r="C105" i="2" s="1"/>
  <c r="C106" i="2" s="1"/>
  <c r="C107" i="2" s="1"/>
  <c r="C108" i="2" s="1"/>
  <c r="C109" i="2" s="1"/>
  <c r="C110" i="2" s="1"/>
  <c r="C111" i="2" s="1"/>
  <c r="C112" i="2" s="1"/>
  <c r="D104" i="2"/>
  <c r="D105" i="2" s="1"/>
  <c r="D106" i="2" s="1"/>
  <c r="D107" i="2" s="1"/>
  <c r="D108" i="2" s="1"/>
  <c r="D109" i="2" s="1"/>
  <c r="D110" i="2" s="1"/>
  <c r="D111" i="2" s="1"/>
  <c r="D112" i="2" s="1"/>
  <c r="E104" i="2"/>
  <c r="E105" i="2" s="1"/>
  <c r="E106" i="2" s="1"/>
  <c r="E107" i="2" s="1"/>
  <c r="E108" i="2" s="1"/>
  <c r="E109" i="2" s="1"/>
  <c r="E110" i="2" s="1"/>
  <c r="E111" i="2" s="1"/>
  <c r="E112" i="2" s="1"/>
  <c r="F104" i="2"/>
  <c r="F105" i="2" s="1"/>
  <c r="F106" i="2" s="1"/>
  <c r="F107" i="2" s="1"/>
  <c r="F108" i="2" s="1"/>
  <c r="F109" i="2" s="1"/>
  <c r="F110" i="2" s="1"/>
  <c r="F111" i="2" s="1"/>
  <c r="F112" i="2" s="1"/>
  <c r="B95" i="2"/>
  <c r="B96" i="2" s="1"/>
  <c r="B97" i="2" s="1"/>
  <c r="B98" i="2" s="1"/>
  <c r="B99" i="2" s="1"/>
  <c r="B100" i="2" s="1"/>
  <c r="B101" i="2" s="1"/>
  <c r="B102" i="2" s="1"/>
  <c r="B94" i="2"/>
  <c r="C94" i="2"/>
  <c r="C95" i="2" s="1"/>
  <c r="C96" i="2" s="1"/>
  <c r="C97" i="2" s="1"/>
  <c r="C98" i="2" s="1"/>
  <c r="C99" i="2" s="1"/>
  <c r="C100" i="2" s="1"/>
  <c r="C101" i="2" s="1"/>
  <c r="C102" i="2" s="1"/>
  <c r="D94" i="2"/>
  <c r="E94" i="2"/>
  <c r="F94" i="2"/>
  <c r="B85" i="2"/>
  <c r="B86" i="2" s="1"/>
  <c r="B87" i="2" s="1"/>
  <c r="B88" i="2" s="1"/>
  <c r="B89" i="2" s="1"/>
  <c r="B90" i="2" s="1"/>
  <c r="B91" i="2" s="1"/>
  <c r="B92" i="2" s="1"/>
  <c r="B84" i="2"/>
  <c r="C84" i="2"/>
  <c r="C85" i="2" s="1"/>
  <c r="C86" i="2" s="1"/>
  <c r="C87" i="2" s="1"/>
  <c r="C88" i="2" s="1"/>
  <c r="C89" i="2" s="1"/>
  <c r="C90" i="2" s="1"/>
  <c r="C91" i="2" s="1"/>
  <c r="C92" i="2" s="1"/>
  <c r="D84" i="2"/>
  <c r="D85" i="2" s="1"/>
  <c r="D86" i="2" s="1"/>
  <c r="D87" i="2" s="1"/>
  <c r="D88" i="2" s="1"/>
  <c r="D89" i="2" s="1"/>
  <c r="D90" i="2" s="1"/>
  <c r="D91" i="2" s="1"/>
  <c r="D92" i="2" s="1"/>
  <c r="E84" i="2"/>
  <c r="E85" i="2" s="1"/>
  <c r="E86" i="2" s="1"/>
  <c r="E87" i="2" s="1"/>
  <c r="E88" i="2" s="1"/>
  <c r="E89" i="2" s="1"/>
  <c r="E90" i="2" s="1"/>
  <c r="E91" i="2" s="1"/>
  <c r="E92" i="2" s="1"/>
  <c r="F84" i="2"/>
  <c r="F85" i="2" s="1"/>
  <c r="F86" i="2" s="1"/>
  <c r="F87" i="2" s="1"/>
  <c r="F88" i="2" s="1"/>
  <c r="F89" i="2" s="1"/>
  <c r="F90" i="2" s="1"/>
  <c r="F91" i="2" s="1"/>
  <c r="F92" i="2" s="1"/>
  <c r="B75" i="2"/>
  <c r="B76" i="2" s="1"/>
  <c r="B77" i="2" s="1"/>
  <c r="B78" i="2" s="1"/>
  <c r="B79" i="2" s="1"/>
  <c r="B80" i="2" s="1"/>
  <c r="B81" i="2" s="1"/>
  <c r="B82" i="2" s="1"/>
  <c r="B74" i="2"/>
  <c r="C74" i="2"/>
  <c r="C75" i="2" s="1"/>
  <c r="C76" i="2" s="1"/>
  <c r="C77" i="2" s="1"/>
  <c r="C78" i="2" s="1"/>
  <c r="C79" i="2" s="1"/>
  <c r="C80" i="2" s="1"/>
  <c r="C81" i="2" s="1"/>
  <c r="C82" i="2" s="1"/>
  <c r="D74" i="2"/>
  <c r="D75" i="2" s="1"/>
  <c r="D76" i="2" s="1"/>
  <c r="D77" i="2" s="1"/>
  <c r="D78" i="2" s="1"/>
  <c r="D79" i="2" s="1"/>
  <c r="D80" i="2" s="1"/>
  <c r="D81" i="2" s="1"/>
  <c r="D82" i="2" s="1"/>
  <c r="E74" i="2"/>
  <c r="F74" i="2"/>
  <c r="F75" i="2" s="1"/>
  <c r="F76" i="2" s="1"/>
  <c r="F77" i="2" s="1"/>
  <c r="F78" i="2" s="1"/>
  <c r="F79" i="2" s="1"/>
  <c r="F80" i="2" s="1"/>
  <c r="F81" i="2" s="1"/>
  <c r="F82" i="2" s="1"/>
  <c r="B65" i="2"/>
  <c r="B66" i="2" s="1"/>
  <c r="B67" i="2" s="1"/>
  <c r="B68" i="2" s="1"/>
  <c r="B69" i="2" s="1"/>
  <c r="B70" i="2" s="1"/>
  <c r="B71" i="2" s="1"/>
  <c r="B72" i="2" s="1"/>
  <c r="B64" i="2"/>
  <c r="C64" i="2"/>
  <c r="C65" i="2" s="1"/>
  <c r="C66" i="2" s="1"/>
  <c r="C67" i="2" s="1"/>
  <c r="C68" i="2" s="1"/>
  <c r="C69" i="2" s="1"/>
  <c r="C70" i="2" s="1"/>
  <c r="C71" i="2" s="1"/>
  <c r="C72" i="2" s="1"/>
  <c r="D64" i="2"/>
  <c r="D65" i="2" s="1"/>
  <c r="D66" i="2" s="1"/>
  <c r="D67" i="2" s="1"/>
  <c r="D68" i="2" s="1"/>
  <c r="D69" i="2" s="1"/>
  <c r="D70" i="2" s="1"/>
  <c r="D71" i="2" s="1"/>
  <c r="D72" i="2" s="1"/>
  <c r="E64" i="2"/>
  <c r="E65" i="2" s="1"/>
  <c r="E66" i="2" s="1"/>
  <c r="E67" i="2" s="1"/>
  <c r="E68" i="2" s="1"/>
  <c r="E69" i="2" s="1"/>
  <c r="E70" i="2" s="1"/>
  <c r="E71" i="2" s="1"/>
  <c r="E72" i="2" s="1"/>
  <c r="F64" i="2"/>
  <c r="F65" i="2" s="1"/>
  <c r="F66" i="2" s="1"/>
  <c r="F67" i="2" s="1"/>
  <c r="F68" i="2" s="1"/>
  <c r="F69" i="2" s="1"/>
  <c r="F70" i="2" s="1"/>
  <c r="F71" i="2" s="1"/>
  <c r="F72" i="2" s="1"/>
  <c r="B54" i="2"/>
  <c r="B55" i="2" s="1"/>
  <c r="B56" i="2" s="1"/>
  <c r="B57" i="2" s="1"/>
  <c r="B58" i="2" s="1"/>
  <c r="B59" i="2" s="1"/>
  <c r="B60" i="2" s="1"/>
  <c r="B61" i="2" s="1"/>
  <c r="B62" i="2" s="1"/>
  <c r="C54" i="2"/>
  <c r="C55" i="2" s="1"/>
  <c r="C56" i="2" s="1"/>
  <c r="C57" i="2" s="1"/>
  <c r="C58" i="2" s="1"/>
  <c r="C59" i="2" s="1"/>
  <c r="C60" i="2" s="1"/>
  <c r="C61" i="2" s="1"/>
  <c r="C62" i="2" s="1"/>
  <c r="D54" i="2"/>
  <c r="E54" i="2"/>
  <c r="E55" i="2" s="1"/>
  <c r="E56" i="2" s="1"/>
  <c r="E57" i="2" s="1"/>
  <c r="E58" i="2" s="1"/>
  <c r="E59" i="2" s="1"/>
  <c r="E60" i="2" s="1"/>
  <c r="E61" i="2" s="1"/>
  <c r="E62" i="2" s="1"/>
  <c r="F54" i="2"/>
  <c r="F55" i="2" s="1"/>
  <c r="F56" i="2" s="1"/>
  <c r="F57" i="2" s="1"/>
  <c r="F58" i="2" s="1"/>
  <c r="F59" i="2" s="1"/>
  <c r="F60" i="2" s="1"/>
  <c r="F61" i="2" s="1"/>
  <c r="F62" i="2" s="1"/>
  <c r="B44" i="2"/>
  <c r="B45" i="2" s="1"/>
  <c r="B46" i="2" s="1"/>
  <c r="B47" i="2" s="1"/>
  <c r="B48" i="2" s="1"/>
  <c r="B49" i="2" s="1"/>
  <c r="B50" i="2" s="1"/>
  <c r="B51" i="2" s="1"/>
  <c r="B52" i="2" s="1"/>
  <c r="C44" i="2"/>
  <c r="C45" i="2" s="1"/>
  <c r="C46" i="2" s="1"/>
  <c r="C47" i="2" s="1"/>
  <c r="C48" i="2" s="1"/>
  <c r="C49" i="2" s="1"/>
  <c r="C50" i="2" s="1"/>
  <c r="C51" i="2" s="1"/>
  <c r="C52" i="2" s="1"/>
  <c r="D44" i="2"/>
  <c r="D45" i="2" s="1"/>
  <c r="D46" i="2" s="1"/>
  <c r="D47" i="2" s="1"/>
  <c r="D48" i="2" s="1"/>
  <c r="D49" i="2" s="1"/>
  <c r="D50" i="2" s="1"/>
  <c r="D51" i="2" s="1"/>
  <c r="D52" i="2" s="1"/>
  <c r="E44" i="2"/>
  <c r="E45" i="2" s="1"/>
  <c r="E46" i="2" s="1"/>
  <c r="E47" i="2" s="1"/>
  <c r="E48" i="2" s="1"/>
  <c r="E49" i="2" s="1"/>
  <c r="E50" i="2" s="1"/>
  <c r="E51" i="2" s="1"/>
  <c r="E52" i="2" s="1"/>
  <c r="F44" i="2"/>
  <c r="F45" i="2" s="1"/>
  <c r="F46" i="2" s="1"/>
  <c r="F47" i="2" s="1"/>
  <c r="F48" i="2" s="1"/>
  <c r="F49" i="2" s="1"/>
  <c r="F50" i="2" s="1"/>
  <c r="F51" i="2" s="1"/>
  <c r="F52" i="2" s="1"/>
  <c r="B34" i="2"/>
  <c r="B35" i="2" s="1"/>
  <c r="B36" i="2" s="1"/>
  <c r="B37" i="2" s="1"/>
  <c r="B38" i="2" s="1"/>
  <c r="B39" i="2" s="1"/>
  <c r="B40" i="2" s="1"/>
  <c r="B41" i="2" s="1"/>
  <c r="B42" i="2" s="1"/>
  <c r="C34" i="2"/>
  <c r="C35" i="2" s="1"/>
  <c r="C36" i="2" s="1"/>
  <c r="C37" i="2" s="1"/>
  <c r="C38" i="2" s="1"/>
  <c r="C39" i="2" s="1"/>
  <c r="C40" i="2" s="1"/>
  <c r="C41" i="2" s="1"/>
  <c r="C42" i="2" s="1"/>
  <c r="D34" i="2"/>
  <c r="D35" i="2" s="1"/>
  <c r="D36" i="2" s="1"/>
  <c r="D37" i="2" s="1"/>
  <c r="D38" i="2" s="1"/>
  <c r="D39" i="2" s="1"/>
  <c r="D40" i="2" s="1"/>
  <c r="D41" i="2" s="1"/>
  <c r="D42" i="2" s="1"/>
  <c r="E34" i="2"/>
  <c r="E35" i="2" s="1"/>
  <c r="E36" i="2" s="1"/>
  <c r="E37" i="2" s="1"/>
  <c r="E38" i="2" s="1"/>
  <c r="E39" i="2" s="1"/>
  <c r="E40" i="2" s="1"/>
  <c r="E41" i="2" s="1"/>
  <c r="E42" i="2" s="1"/>
  <c r="F34" i="2"/>
  <c r="F35" i="2" s="1"/>
  <c r="F36" i="2" s="1"/>
  <c r="F37" i="2" s="1"/>
  <c r="F38" i="2" s="1"/>
  <c r="F39" i="2" s="1"/>
  <c r="F40" i="2" s="1"/>
  <c r="F41" i="2" s="1"/>
  <c r="F42" i="2" s="1"/>
  <c r="B24" i="2"/>
  <c r="B25" i="2" s="1"/>
  <c r="B26" i="2" s="1"/>
  <c r="B27" i="2" s="1"/>
  <c r="B28" i="2" s="1"/>
  <c r="B29" i="2" s="1"/>
  <c r="B30" i="2" s="1"/>
  <c r="B31" i="2" s="1"/>
  <c r="B32" i="2" s="1"/>
  <c r="C24" i="2"/>
  <c r="C25" i="2" s="1"/>
  <c r="C26" i="2" s="1"/>
  <c r="C27" i="2" s="1"/>
  <c r="C28" i="2" s="1"/>
  <c r="C29" i="2" s="1"/>
  <c r="C30" i="2" s="1"/>
  <c r="C31" i="2" s="1"/>
  <c r="C32" i="2" s="1"/>
  <c r="D24" i="2"/>
  <c r="D25" i="2" s="1"/>
  <c r="D26" i="2" s="1"/>
  <c r="D27" i="2" s="1"/>
  <c r="D28" i="2" s="1"/>
  <c r="D29" i="2" s="1"/>
  <c r="D30" i="2" s="1"/>
  <c r="D31" i="2" s="1"/>
  <c r="D32" i="2" s="1"/>
  <c r="E24" i="2"/>
  <c r="E25" i="2" s="1"/>
  <c r="E26" i="2" s="1"/>
  <c r="E27" i="2" s="1"/>
  <c r="E28" i="2" s="1"/>
  <c r="E29" i="2" s="1"/>
  <c r="E30" i="2" s="1"/>
  <c r="E31" i="2" s="1"/>
  <c r="E32" i="2" s="1"/>
  <c r="F24" i="2"/>
  <c r="F25" i="2" s="1"/>
  <c r="F26" i="2" s="1"/>
  <c r="F27" i="2" s="1"/>
  <c r="F28" i="2" s="1"/>
  <c r="F29" i="2" s="1"/>
  <c r="F30" i="2" s="1"/>
  <c r="F31" i="2" s="1"/>
  <c r="F32" i="2" s="1"/>
  <c r="B14" i="2"/>
  <c r="B15" i="2" s="1"/>
  <c r="B16" i="2" s="1"/>
  <c r="B17" i="2" s="1"/>
  <c r="B18" i="2" s="1"/>
  <c r="B19" i="2" s="1"/>
  <c r="B20" i="2" s="1"/>
  <c r="B21" i="2" s="1"/>
  <c r="B22" i="2" s="1"/>
  <c r="C14" i="2"/>
  <c r="C15" i="2" s="1"/>
  <c r="C16" i="2" s="1"/>
  <c r="C17" i="2" s="1"/>
  <c r="C18" i="2" s="1"/>
  <c r="C19" i="2" s="1"/>
  <c r="C20" i="2" s="1"/>
  <c r="C21" i="2" s="1"/>
  <c r="C22" i="2" s="1"/>
  <c r="D14" i="2"/>
  <c r="D15" i="2" s="1"/>
  <c r="D16" i="2" s="1"/>
  <c r="D17" i="2" s="1"/>
  <c r="D18" i="2" s="1"/>
  <c r="D19" i="2" s="1"/>
  <c r="D20" i="2" s="1"/>
  <c r="D21" i="2" s="1"/>
  <c r="D22" i="2" s="1"/>
  <c r="E14" i="2"/>
  <c r="F14" i="2"/>
  <c r="F15" i="2" s="1"/>
  <c r="F16" i="2" s="1"/>
  <c r="F17" i="2" s="1"/>
  <c r="F18" i="2" s="1"/>
  <c r="F19" i="2" s="1"/>
  <c r="F20" i="2" s="1"/>
  <c r="F21" i="2" s="1"/>
  <c r="F22" i="2" s="1"/>
  <c r="B4" i="2"/>
  <c r="B5" i="2" s="1"/>
  <c r="B6" i="2" s="1"/>
  <c r="B7" i="2" s="1"/>
  <c r="B8" i="2" s="1"/>
  <c r="B9" i="2" s="1"/>
  <c r="B10" i="2" s="1"/>
  <c r="B11" i="2" s="1"/>
  <c r="B12" i="2" s="1"/>
  <c r="C4" i="2"/>
  <c r="C5" i="2" s="1"/>
  <c r="C6" i="2" s="1"/>
  <c r="C7" i="2" s="1"/>
  <c r="C8" i="2" s="1"/>
  <c r="C9" i="2" s="1"/>
  <c r="C10" i="2" s="1"/>
  <c r="C11" i="2" s="1"/>
  <c r="C12" i="2" s="1"/>
  <c r="D4" i="2"/>
  <c r="D5" i="2" s="1"/>
  <c r="D6" i="2" s="1"/>
  <c r="D7" i="2" s="1"/>
  <c r="D8" i="2" s="1"/>
  <c r="D9" i="2" s="1"/>
  <c r="D10" i="2" s="1"/>
  <c r="D11" i="2" s="1"/>
  <c r="D12" i="2" s="1"/>
  <c r="E4" i="2"/>
  <c r="E5" i="2" s="1"/>
  <c r="E6" i="2" s="1"/>
  <c r="E7" i="2" s="1"/>
  <c r="E8" i="2" s="1"/>
  <c r="E9" i="2" s="1"/>
  <c r="E10" i="2" s="1"/>
  <c r="E11" i="2" s="1"/>
  <c r="E12" i="2" s="1"/>
  <c r="F4" i="2"/>
  <c r="F5" i="2" s="1"/>
  <c r="F6" i="2" s="1"/>
  <c r="F7" i="2" s="1"/>
  <c r="F8" i="2" s="1"/>
  <c r="F9" i="2" s="1"/>
  <c r="F10" i="2" s="1"/>
  <c r="F11" i="2" s="1"/>
  <c r="F12" i="2" s="1"/>
  <c r="L125" i="2"/>
  <c r="L126" i="2" s="1"/>
  <c r="L127" i="2" s="1"/>
  <c r="L128" i="2" s="1"/>
  <c r="L129" i="2" s="1"/>
  <c r="L130" i="2" s="1"/>
  <c r="L131" i="2" s="1"/>
  <c r="L132" i="2" s="1"/>
  <c r="L124" i="2"/>
  <c r="L115" i="2"/>
  <c r="L116" i="2" s="1"/>
  <c r="L117" i="2" s="1"/>
  <c r="L118" i="2" s="1"/>
  <c r="L119" i="2" s="1"/>
  <c r="L120" i="2" s="1"/>
  <c r="L121" i="2" s="1"/>
  <c r="L122" i="2" s="1"/>
  <c r="L114" i="2"/>
  <c r="L104" i="2"/>
  <c r="L105" i="2" s="1"/>
  <c r="L106" i="2" s="1"/>
  <c r="L107" i="2" s="1"/>
  <c r="L108" i="2" s="1"/>
  <c r="L109" i="2" s="1"/>
  <c r="L110" i="2" s="1"/>
  <c r="L111" i="2" s="1"/>
  <c r="L112" i="2" s="1"/>
  <c r="L95" i="2"/>
  <c r="L96" i="2" s="1"/>
  <c r="L97" i="2" s="1"/>
  <c r="L98" i="2" s="1"/>
  <c r="L99" i="2" s="1"/>
  <c r="L100" i="2" s="1"/>
  <c r="L101" i="2" s="1"/>
  <c r="L102" i="2" s="1"/>
  <c r="L94" i="2"/>
  <c r="L85" i="2"/>
  <c r="L86" i="2" s="1"/>
  <c r="L87" i="2" s="1"/>
  <c r="L88" i="2" s="1"/>
  <c r="L89" i="2" s="1"/>
  <c r="L90" i="2" s="1"/>
  <c r="L91" i="2" s="1"/>
  <c r="L92" i="2" s="1"/>
  <c r="L84" i="2"/>
  <c r="L74" i="2"/>
  <c r="L75" i="2" s="1"/>
  <c r="L76" i="2" s="1"/>
  <c r="L77" i="2" s="1"/>
  <c r="L78" i="2" s="1"/>
  <c r="L79" i="2" s="1"/>
  <c r="L80" i="2" s="1"/>
  <c r="L81" i="2" s="1"/>
  <c r="L82" i="2" s="1"/>
  <c r="L65" i="2"/>
  <c r="L66" i="2" s="1"/>
  <c r="L67" i="2" s="1"/>
  <c r="L68" i="2" s="1"/>
  <c r="L69" i="2" s="1"/>
  <c r="L70" i="2" s="1"/>
  <c r="L71" i="2" s="1"/>
  <c r="L72" i="2" s="1"/>
  <c r="L64" i="2"/>
  <c r="L55" i="2"/>
  <c r="L56" i="2" s="1"/>
  <c r="L57" i="2" s="1"/>
  <c r="L58" i="2" s="1"/>
  <c r="L59" i="2" s="1"/>
  <c r="L60" i="2" s="1"/>
  <c r="L61" i="2" s="1"/>
  <c r="L62" i="2" s="1"/>
  <c r="L54" i="2"/>
  <c r="L45" i="2"/>
  <c r="L46" i="2" s="1"/>
  <c r="L47" i="2" s="1"/>
  <c r="L48" i="2" s="1"/>
  <c r="L49" i="2" s="1"/>
  <c r="L50" i="2" s="1"/>
  <c r="L51" i="2" s="1"/>
  <c r="L52" i="2" s="1"/>
  <c r="L44" i="2"/>
  <c r="L35" i="2"/>
  <c r="L36" i="2" s="1"/>
  <c r="L37" i="2" s="1"/>
  <c r="L38" i="2" s="1"/>
  <c r="L39" i="2" s="1"/>
  <c r="L40" i="2" s="1"/>
  <c r="L41" i="2" s="1"/>
  <c r="L42" i="2" s="1"/>
  <c r="L34" i="2"/>
  <c r="L24" i="2"/>
  <c r="L25" i="2" s="1"/>
  <c r="L26" i="2" s="1"/>
  <c r="L27" i="2" s="1"/>
  <c r="L28" i="2" s="1"/>
  <c r="L29" i="2" s="1"/>
  <c r="L30" i="2" s="1"/>
  <c r="L31" i="2" s="1"/>
  <c r="L32" i="2" s="1"/>
  <c r="L15" i="2"/>
  <c r="L16" i="2" s="1"/>
  <c r="L17" i="2" s="1"/>
  <c r="L18" i="2" s="1"/>
  <c r="L19" i="2" s="1"/>
  <c r="L20" i="2" s="1"/>
  <c r="L21" i="2" s="1"/>
  <c r="L22" i="2" s="1"/>
  <c r="L14" i="2"/>
  <c r="L5" i="2"/>
  <c r="L6" i="2" s="1"/>
  <c r="L7" i="2" s="1"/>
  <c r="L8" i="2" s="1"/>
  <c r="L9" i="2" s="1"/>
  <c r="L10" i="2" s="1"/>
  <c r="L11" i="2" s="1"/>
  <c r="L12" i="2" s="1"/>
  <c r="L4" i="2"/>
  <c r="K124" i="2"/>
  <c r="K125" i="2" s="1"/>
  <c r="K126" i="2" s="1"/>
  <c r="K127" i="2" s="1"/>
  <c r="K128" i="2" s="1"/>
  <c r="K129" i="2" s="1"/>
  <c r="K130" i="2" s="1"/>
  <c r="K131" i="2" s="1"/>
  <c r="K132" i="2" s="1"/>
  <c r="K115" i="2"/>
  <c r="K116" i="2"/>
  <c r="K117" i="2" s="1"/>
  <c r="K118" i="2" s="1"/>
  <c r="K119" i="2" s="1"/>
  <c r="K120" i="2" s="1"/>
  <c r="K121" i="2" s="1"/>
  <c r="K122" i="2" s="1"/>
  <c r="K114" i="2"/>
  <c r="K105" i="2"/>
  <c r="K106" i="2" s="1"/>
  <c r="K107" i="2" s="1"/>
  <c r="K108" i="2" s="1"/>
  <c r="K109" i="2" s="1"/>
  <c r="K110" i="2" s="1"/>
  <c r="K111" i="2" s="1"/>
  <c r="K112" i="2" s="1"/>
  <c r="K104" i="2"/>
  <c r="K95" i="2"/>
  <c r="K96" i="2" s="1"/>
  <c r="K97" i="2" s="1"/>
  <c r="K98" i="2" s="1"/>
  <c r="K99" i="2" s="1"/>
  <c r="K100" i="2" s="1"/>
  <c r="K101" i="2" s="1"/>
  <c r="K102" i="2" s="1"/>
  <c r="K94" i="2"/>
  <c r="K84" i="2"/>
  <c r="K85" i="2" s="1"/>
  <c r="K86" i="2" s="1"/>
  <c r="K87" i="2" s="1"/>
  <c r="K88" i="2" s="1"/>
  <c r="K89" i="2" s="1"/>
  <c r="K90" i="2" s="1"/>
  <c r="K91" i="2" s="1"/>
  <c r="K92" i="2" s="1"/>
  <c r="K75" i="2"/>
  <c r="K76" i="2" s="1"/>
  <c r="K77" i="2" s="1"/>
  <c r="K78" i="2" s="1"/>
  <c r="K79" i="2" s="1"/>
  <c r="K80" i="2" s="1"/>
  <c r="K81" i="2" s="1"/>
  <c r="K82" i="2" s="1"/>
  <c r="K74" i="2"/>
  <c r="K65" i="2"/>
  <c r="K66" i="2" s="1"/>
  <c r="K67" i="2" s="1"/>
  <c r="K68" i="2" s="1"/>
  <c r="K69" i="2" s="1"/>
  <c r="K70" i="2" s="1"/>
  <c r="K71" i="2" s="1"/>
  <c r="K72" i="2" s="1"/>
  <c r="K64" i="2"/>
  <c r="K54" i="2"/>
  <c r="K55" i="2" s="1"/>
  <c r="K56" i="2" s="1"/>
  <c r="K57" i="2" s="1"/>
  <c r="K58" i="2" s="1"/>
  <c r="K59" i="2" s="1"/>
  <c r="K60" i="2" s="1"/>
  <c r="K61" i="2" s="1"/>
  <c r="K62" i="2" s="1"/>
  <c r="K45" i="2"/>
  <c r="K46" i="2" s="1"/>
  <c r="K47" i="2" s="1"/>
  <c r="K48" i="2" s="1"/>
  <c r="K49" i="2" s="1"/>
  <c r="K50" i="2" s="1"/>
  <c r="K51" i="2" s="1"/>
  <c r="K52" i="2" s="1"/>
  <c r="K44" i="2"/>
  <c r="K35" i="2"/>
  <c r="K36" i="2" s="1"/>
  <c r="K37" i="2" s="1"/>
  <c r="K38" i="2" s="1"/>
  <c r="K39" i="2" s="1"/>
  <c r="K40" i="2" s="1"/>
  <c r="K41" i="2" s="1"/>
  <c r="K42" i="2" s="1"/>
  <c r="J35" i="2"/>
  <c r="J36" i="2" s="1"/>
  <c r="J37" i="2" s="1"/>
  <c r="J38" i="2" s="1"/>
  <c r="J39" i="2" s="1"/>
  <c r="J40" i="2" s="1"/>
  <c r="J41" i="2" s="1"/>
  <c r="J42" i="2" s="1"/>
  <c r="I35" i="2"/>
  <c r="I36" i="2" s="1"/>
  <c r="I37" i="2" s="1"/>
  <c r="I38" i="2" s="1"/>
  <c r="I39" i="2" s="1"/>
  <c r="I40" i="2" s="1"/>
  <c r="I41" i="2" s="1"/>
  <c r="I42" i="2" s="1"/>
  <c r="H34" i="2"/>
  <c r="H35" i="2" s="1"/>
  <c r="H36" i="2" s="1"/>
  <c r="H37" i="2" s="1"/>
  <c r="H38" i="2" s="1"/>
  <c r="H39" i="2" s="1"/>
  <c r="H40" i="2" s="1"/>
  <c r="H41" i="2" s="1"/>
  <c r="H42" i="2" s="1"/>
  <c r="I34" i="2"/>
  <c r="J34" i="2"/>
  <c r="K34" i="2"/>
  <c r="G35" i="2"/>
  <c r="G36" i="2" s="1"/>
  <c r="G37" i="2" s="1"/>
  <c r="G38" i="2" s="1"/>
  <c r="G39" i="2" s="1"/>
  <c r="G40" i="2" s="1"/>
  <c r="G41" i="2" s="1"/>
  <c r="G42" i="2" s="1"/>
  <c r="G34" i="2"/>
  <c r="K25" i="2"/>
  <c r="K26" i="2"/>
  <c r="K27" i="2" s="1"/>
  <c r="K28" i="2" s="1"/>
  <c r="K29" i="2" s="1"/>
  <c r="K30" i="2" s="1"/>
  <c r="K31" i="2" s="1"/>
  <c r="K32" i="2" s="1"/>
  <c r="J25" i="2"/>
  <c r="J26" i="2" s="1"/>
  <c r="J27" i="2" s="1"/>
  <c r="J28" i="2" s="1"/>
  <c r="J29" i="2" s="1"/>
  <c r="J30" i="2" s="1"/>
  <c r="J31" i="2" s="1"/>
  <c r="J32" i="2" s="1"/>
  <c r="G25" i="2"/>
  <c r="G26" i="2" s="1"/>
  <c r="G27" i="2" s="1"/>
  <c r="G28" i="2" s="1"/>
  <c r="G29" i="2" s="1"/>
  <c r="G30" i="2" s="1"/>
  <c r="G31" i="2" s="1"/>
  <c r="G32" i="2" s="1"/>
  <c r="H24" i="2"/>
  <c r="H25" i="2" s="1"/>
  <c r="H26" i="2" s="1"/>
  <c r="H27" i="2" s="1"/>
  <c r="H28" i="2" s="1"/>
  <c r="H29" i="2" s="1"/>
  <c r="H30" i="2" s="1"/>
  <c r="H31" i="2" s="1"/>
  <c r="H32" i="2" s="1"/>
  <c r="I24" i="2"/>
  <c r="I25" i="2" s="1"/>
  <c r="I26" i="2" s="1"/>
  <c r="I27" i="2" s="1"/>
  <c r="I28" i="2" s="1"/>
  <c r="I29" i="2" s="1"/>
  <c r="I30" i="2" s="1"/>
  <c r="I31" i="2" s="1"/>
  <c r="I32" i="2" s="1"/>
  <c r="J24" i="2"/>
  <c r="K24" i="2"/>
  <c r="G24" i="2"/>
  <c r="J15" i="2"/>
  <c r="J16" i="2" s="1"/>
  <c r="J17" i="2" s="1"/>
  <c r="J18" i="2" s="1"/>
  <c r="J19" i="2" s="1"/>
  <c r="J20" i="2" s="1"/>
  <c r="J21" i="2" s="1"/>
  <c r="J22" i="2" s="1"/>
  <c r="H15" i="2"/>
  <c r="H16" i="2" s="1"/>
  <c r="H17" i="2" s="1"/>
  <c r="H18" i="2" s="1"/>
  <c r="H19" i="2" s="1"/>
  <c r="H20" i="2" s="1"/>
  <c r="H21" i="2" s="1"/>
  <c r="H22" i="2" s="1"/>
  <c r="H14" i="2"/>
  <c r="I14" i="2"/>
  <c r="I15" i="2" s="1"/>
  <c r="I16" i="2" s="1"/>
  <c r="I17" i="2" s="1"/>
  <c r="I18" i="2" s="1"/>
  <c r="I19" i="2" s="1"/>
  <c r="I20" i="2" s="1"/>
  <c r="I21" i="2" s="1"/>
  <c r="I22" i="2" s="1"/>
  <c r="J14" i="2"/>
  <c r="K14" i="2"/>
  <c r="K15" i="2" s="1"/>
  <c r="K16" i="2" s="1"/>
  <c r="K17" i="2" s="1"/>
  <c r="K18" i="2" s="1"/>
  <c r="K19" i="2" s="1"/>
  <c r="K20" i="2" s="1"/>
  <c r="K21" i="2" s="1"/>
  <c r="K22" i="2" s="1"/>
  <c r="G14" i="2"/>
  <c r="G15" i="2" s="1"/>
  <c r="G16" i="2" s="1"/>
  <c r="G17" i="2" s="1"/>
  <c r="G18" i="2" s="1"/>
  <c r="G19" i="2" s="1"/>
  <c r="G20" i="2" s="1"/>
  <c r="G21" i="2" s="1"/>
  <c r="G22" i="2" s="1"/>
  <c r="K5" i="2"/>
  <c r="K6" i="2" s="1"/>
  <c r="K7" i="2" s="1"/>
  <c r="K8" i="2" s="1"/>
  <c r="K9" i="2" s="1"/>
  <c r="K10" i="2" s="1"/>
  <c r="K11" i="2" s="1"/>
  <c r="K12" i="2" s="1"/>
  <c r="K4" i="2"/>
  <c r="J124" i="2"/>
  <c r="J125" i="2" s="1"/>
  <c r="J126" i="2" s="1"/>
  <c r="J127" i="2" s="1"/>
  <c r="J128" i="2" s="1"/>
  <c r="J129" i="2" s="1"/>
  <c r="J130" i="2" s="1"/>
  <c r="J131" i="2" s="1"/>
  <c r="J132" i="2" s="1"/>
  <c r="J115" i="2"/>
  <c r="J116" i="2" s="1"/>
  <c r="J117" i="2" s="1"/>
  <c r="J118" i="2" s="1"/>
  <c r="J119" i="2" s="1"/>
  <c r="J120" i="2" s="1"/>
  <c r="J121" i="2" s="1"/>
  <c r="J122" i="2" s="1"/>
  <c r="J114" i="2"/>
  <c r="J105" i="2"/>
  <c r="J106" i="2" s="1"/>
  <c r="J107" i="2" s="1"/>
  <c r="J108" i="2" s="1"/>
  <c r="J109" i="2" s="1"/>
  <c r="J110" i="2" s="1"/>
  <c r="J111" i="2" s="1"/>
  <c r="J112" i="2" s="1"/>
  <c r="J104" i="2"/>
  <c r="J94" i="2"/>
  <c r="J95" i="2" s="1"/>
  <c r="J96" i="2" s="1"/>
  <c r="J97" i="2" s="1"/>
  <c r="J98" i="2" s="1"/>
  <c r="J99" i="2" s="1"/>
  <c r="J100" i="2" s="1"/>
  <c r="J101" i="2" s="1"/>
  <c r="J102" i="2" s="1"/>
  <c r="J85" i="2"/>
  <c r="J86" i="2"/>
  <c r="J87" i="2" s="1"/>
  <c r="J88" i="2" s="1"/>
  <c r="J89" i="2" s="1"/>
  <c r="J90" i="2" s="1"/>
  <c r="J91" i="2" s="1"/>
  <c r="J92" i="2" s="1"/>
  <c r="J84" i="2"/>
  <c r="J75" i="2"/>
  <c r="J76" i="2" s="1"/>
  <c r="J77" i="2" s="1"/>
  <c r="J78" i="2" s="1"/>
  <c r="J79" i="2" s="1"/>
  <c r="J80" i="2" s="1"/>
  <c r="J81" i="2" s="1"/>
  <c r="J82" i="2" s="1"/>
  <c r="J74" i="2"/>
  <c r="J65" i="2"/>
  <c r="J66" i="2" s="1"/>
  <c r="J67" i="2" s="1"/>
  <c r="J68" i="2" s="1"/>
  <c r="J69" i="2" s="1"/>
  <c r="J70" i="2" s="1"/>
  <c r="J71" i="2" s="1"/>
  <c r="J72" i="2" s="1"/>
  <c r="J64" i="2"/>
  <c r="J54" i="2"/>
  <c r="J55" i="2" s="1"/>
  <c r="J56" i="2" s="1"/>
  <c r="J57" i="2" s="1"/>
  <c r="J58" i="2" s="1"/>
  <c r="J59" i="2" s="1"/>
  <c r="J60" i="2" s="1"/>
  <c r="J61" i="2" s="1"/>
  <c r="J62" i="2" s="1"/>
  <c r="J45" i="2"/>
  <c r="J46" i="2" s="1"/>
  <c r="J47" i="2" s="1"/>
  <c r="J48" i="2" s="1"/>
  <c r="J49" i="2" s="1"/>
  <c r="J50" i="2" s="1"/>
  <c r="J51" i="2" s="1"/>
  <c r="J52" i="2" s="1"/>
  <c r="J44" i="2"/>
  <c r="J5" i="2"/>
  <c r="J6" i="2" s="1"/>
  <c r="J7" i="2" s="1"/>
  <c r="J8" i="2" s="1"/>
  <c r="J9" i="2" s="1"/>
  <c r="J10" i="2" s="1"/>
  <c r="J11" i="2" s="1"/>
  <c r="J12" i="2" s="1"/>
  <c r="J4" i="2"/>
  <c r="I125" i="2"/>
  <c r="I126" i="2"/>
  <c r="I127" i="2"/>
  <c r="I128" i="2" s="1"/>
  <c r="I129" i="2" s="1"/>
  <c r="I130" i="2" s="1"/>
  <c r="I131" i="2" s="1"/>
  <c r="I132" i="2" s="1"/>
  <c r="I124" i="2"/>
  <c r="I115" i="2"/>
  <c r="I116" i="2" s="1"/>
  <c r="I117" i="2" s="1"/>
  <c r="I118" i="2" s="1"/>
  <c r="I119" i="2" s="1"/>
  <c r="I120" i="2" s="1"/>
  <c r="I121" i="2" s="1"/>
  <c r="I122" i="2" s="1"/>
  <c r="I114" i="2"/>
  <c r="I105" i="2"/>
  <c r="I106" i="2" s="1"/>
  <c r="I107" i="2" s="1"/>
  <c r="I108" i="2" s="1"/>
  <c r="I109" i="2" s="1"/>
  <c r="I110" i="2" s="1"/>
  <c r="I111" i="2" s="1"/>
  <c r="I112" i="2" s="1"/>
  <c r="I104" i="2"/>
  <c r="I94" i="2"/>
  <c r="I95" i="2" s="1"/>
  <c r="I96" i="2" s="1"/>
  <c r="I97" i="2" s="1"/>
  <c r="I98" i="2" s="1"/>
  <c r="I99" i="2" s="1"/>
  <c r="I100" i="2" s="1"/>
  <c r="I101" i="2" s="1"/>
  <c r="I102" i="2" s="1"/>
  <c r="I84" i="2"/>
  <c r="I85" i="2" s="1"/>
  <c r="I86" i="2" s="1"/>
  <c r="I87" i="2" s="1"/>
  <c r="I88" i="2" s="1"/>
  <c r="I89" i="2" s="1"/>
  <c r="I90" i="2" s="1"/>
  <c r="I91" i="2" s="1"/>
  <c r="I92" i="2" s="1"/>
  <c r="I75" i="2"/>
  <c r="I76" i="2" s="1"/>
  <c r="I77" i="2" s="1"/>
  <c r="I78" i="2" s="1"/>
  <c r="I79" i="2" s="1"/>
  <c r="I80" i="2" s="1"/>
  <c r="I81" i="2" s="1"/>
  <c r="I82" i="2" s="1"/>
  <c r="I74" i="2"/>
  <c r="I64" i="2"/>
  <c r="I65" i="2" s="1"/>
  <c r="I66" i="2" s="1"/>
  <c r="I67" i="2" s="1"/>
  <c r="I68" i="2" s="1"/>
  <c r="I69" i="2" s="1"/>
  <c r="I70" i="2" s="1"/>
  <c r="I71" i="2" s="1"/>
  <c r="I72" i="2" s="1"/>
  <c r="I54" i="2"/>
  <c r="I55" i="2" s="1"/>
  <c r="I56" i="2" s="1"/>
  <c r="I57" i="2" s="1"/>
  <c r="I58" i="2" s="1"/>
  <c r="I59" i="2" s="1"/>
  <c r="I60" i="2" s="1"/>
  <c r="I61" i="2" s="1"/>
  <c r="I62" i="2" s="1"/>
  <c r="I44" i="2"/>
  <c r="I45" i="2" s="1"/>
  <c r="I46" i="2" s="1"/>
  <c r="I47" i="2" s="1"/>
  <c r="I48" i="2" s="1"/>
  <c r="I49" i="2" s="1"/>
  <c r="I50" i="2" s="1"/>
  <c r="I51" i="2" s="1"/>
  <c r="I52" i="2" s="1"/>
  <c r="I4" i="2"/>
  <c r="I5" i="2" s="1"/>
  <c r="I6" i="2" s="1"/>
  <c r="I7" i="2" s="1"/>
  <c r="I8" i="2" s="1"/>
  <c r="I9" i="2" s="1"/>
  <c r="I10" i="2" s="1"/>
  <c r="I11" i="2" s="1"/>
  <c r="I12" i="2" s="1"/>
  <c r="H124" i="2"/>
  <c r="H125" i="2" s="1"/>
  <c r="H126" i="2" s="1"/>
  <c r="H127" i="2" s="1"/>
  <c r="H128" i="2" s="1"/>
  <c r="H129" i="2" s="1"/>
  <c r="H130" i="2" s="1"/>
  <c r="H131" i="2" s="1"/>
  <c r="H132" i="2" s="1"/>
  <c r="H114" i="2"/>
  <c r="H115" i="2" s="1"/>
  <c r="H116" i="2" s="1"/>
  <c r="H117" i="2" s="1"/>
  <c r="H118" i="2" s="1"/>
  <c r="H119" i="2" s="1"/>
  <c r="H120" i="2" s="1"/>
  <c r="H121" i="2" s="1"/>
  <c r="H122" i="2" s="1"/>
  <c r="H104" i="2"/>
  <c r="H105" i="2" s="1"/>
  <c r="H106" i="2" s="1"/>
  <c r="H107" i="2" s="1"/>
  <c r="H108" i="2" s="1"/>
  <c r="H109" i="2" s="1"/>
  <c r="H110" i="2" s="1"/>
  <c r="H111" i="2" s="1"/>
  <c r="H112" i="2" s="1"/>
  <c r="H95" i="2"/>
  <c r="H96" i="2" s="1"/>
  <c r="H97" i="2" s="1"/>
  <c r="H98" i="2" s="1"/>
  <c r="H99" i="2" s="1"/>
  <c r="H100" i="2" s="1"/>
  <c r="H101" i="2" s="1"/>
  <c r="H102" i="2" s="1"/>
  <c r="H94" i="2"/>
  <c r="H85" i="2"/>
  <c r="H86" i="2"/>
  <c r="H87" i="2" s="1"/>
  <c r="H88" i="2" s="1"/>
  <c r="H89" i="2" s="1"/>
  <c r="H90" i="2" s="1"/>
  <c r="H91" i="2" s="1"/>
  <c r="H92" i="2" s="1"/>
  <c r="H84" i="2"/>
  <c r="H75" i="2"/>
  <c r="H76" i="2" s="1"/>
  <c r="H77" i="2" s="1"/>
  <c r="H78" i="2" s="1"/>
  <c r="H79" i="2" s="1"/>
  <c r="H80" i="2" s="1"/>
  <c r="H81" i="2" s="1"/>
  <c r="H82" i="2" s="1"/>
  <c r="H74" i="2"/>
  <c r="H65" i="2"/>
  <c r="H66" i="2" s="1"/>
  <c r="H67" i="2" s="1"/>
  <c r="H68" i="2" s="1"/>
  <c r="H69" i="2" s="1"/>
  <c r="H70" i="2" s="1"/>
  <c r="H71" i="2" s="1"/>
  <c r="H72" i="2" s="1"/>
  <c r="H64" i="2"/>
  <c r="H55" i="2"/>
  <c r="H56" i="2" s="1"/>
  <c r="H57" i="2" s="1"/>
  <c r="H58" i="2" s="1"/>
  <c r="H59" i="2" s="1"/>
  <c r="H60" i="2" s="1"/>
  <c r="H61" i="2" s="1"/>
  <c r="H62" i="2" s="1"/>
  <c r="H54" i="2"/>
  <c r="H44" i="2"/>
  <c r="H45" i="2" s="1"/>
  <c r="H46" i="2" s="1"/>
  <c r="H47" i="2" s="1"/>
  <c r="H48" i="2" s="1"/>
  <c r="H49" i="2" s="1"/>
  <c r="H50" i="2" s="1"/>
  <c r="H51" i="2" s="1"/>
  <c r="H52" i="2" s="1"/>
  <c r="H4" i="2"/>
  <c r="H5" i="2" s="1"/>
  <c r="H6" i="2" s="1"/>
  <c r="H7" i="2" s="1"/>
  <c r="H8" i="2" s="1"/>
  <c r="H9" i="2" s="1"/>
  <c r="H10" i="2" s="1"/>
  <c r="H11" i="2" s="1"/>
  <c r="H12" i="2" s="1"/>
  <c r="G124" i="2"/>
  <c r="G125" i="2" s="1"/>
  <c r="G126" i="2" s="1"/>
  <c r="G127" i="2" s="1"/>
  <c r="G128" i="2" s="1"/>
  <c r="G129" i="2" s="1"/>
  <c r="G130" i="2" s="1"/>
  <c r="G131" i="2" s="1"/>
  <c r="G132" i="2" s="1"/>
  <c r="G115" i="2"/>
  <c r="G116" i="2" s="1"/>
  <c r="G117" i="2" s="1"/>
  <c r="G118" i="2" s="1"/>
  <c r="G119" i="2" s="1"/>
  <c r="G120" i="2" s="1"/>
  <c r="G121" i="2" s="1"/>
  <c r="G122" i="2" s="1"/>
  <c r="G114" i="2"/>
  <c r="G105" i="2"/>
  <c r="G106" i="2" s="1"/>
  <c r="G107" i="2" s="1"/>
  <c r="G108" i="2" s="1"/>
  <c r="G109" i="2" s="1"/>
  <c r="G110" i="2" s="1"/>
  <c r="G111" i="2" s="1"/>
  <c r="G112" i="2" s="1"/>
  <c r="G104" i="2"/>
  <c r="G85" i="2"/>
  <c r="G86" i="2" s="1"/>
  <c r="G87" i="2" s="1"/>
  <c r="G88" i="2" s="1"/>
  <c r="G89" i="2" s="1"/>
  <c r="G90" i="2" s="1"/>
  <c r="G91" i="2" s="1"/>
  <c r="G92" i="2" s="1"/>
  <c r="G84" i="2"/>
  <c r="G75" i="2"/>
  <c r="G76" i="2" s="1"/>
  <c r="G77" i="2" s="1"/>
  <c r="G78" i="2" s="1"/>
  <c r="G79" i="2" s="1"/>
  <c r="G80" i="2" s="1"/>
  <c r="G81" i="2" s="1"/>
  <c r="G82" i="2" s="1"/>
  <c r="G74" i="2"/>
  <c r="G64" i="2"/>
  <c r="G65" i="2" s="1"/>
  <c r="G66" i="2" s="1"/>
  <c r="G67" i="2" s="1"/>
  <c r="G68" i="2" s="1"/>
  <c r="G69" i="2" s="1"/>
  <c r="G70" i="2" s="1"/>
  <c r="G71" i="2" s="1"/>
  <c r="G72" i="2" s="1"/>
  <c r="G55" i="2"/>
  <c r="G56" i="2" s="1"/>
  <c r="G57" i="2" s="1"/>
  <c r="G58" i="2" s="1"/>
  <c r="G59" i="2" s="1"/>
  <c r="G60" i="2" s="1"/>
  <c r="G61" i="2" s="1"/>
  <c r="G62" i="2" s="1"/>
  <c r="G54" i="2"/>
  <c r="G44" i="2"/>
  <c r="G45" i="2" s="1"/>
  <c r="G46" i="2" s="1"/>
  <c r="G47" i="2" s="1"/>
  <c r="G48" i="2" s="1"/>
  <c r="G49" i="2" s="1"/>
  <c r="G50" i="2" s="1"/>
  <c r="G51" i="2" s="1"/>
  <c r="G52" i="2" s="1"/>
  <c r="G5" i="2"/>
  <c r="G6" i="2" s="1"/>
  <c r="G7" i="2" s="1"/>
  <c r="G8" i="2" s="1"/>
  <c r="G9" i="2" s="1"/>
  <c r="G10" i="2" s="1"/>
  <c r="G11" i="2" s="1"/>
  <c r="G12" i="2" s="1"/>
  <c r="C9" i="1"/>
  <c r="C8" i="1"/>
  <c r="G4" i="2"/>
  <c r="G94" i="2"/>
  <c r="G95" i="2" s="1"/>
  <c r="G96" i="2" s="1"/>
  <c r="G97" i="2" s="1"/>
  <c r="G98" i="2" s="1"/>
  <c r="G99" i="2" s="1"/>
  <c r="G100" i="2" s="1"/>
  <c r="G101" i="2" s="1"/>
  <c r="G102" i="2" s="1"/>
  <c r="A152" i="5" l="1"/>
  <c r="D18" i="1"/>
  <c r="E18" i="1" s="1"/>
  <c r="F19" i="1"/>
  <c r="A153" i="5" l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G18" i="1"/>
  <c r="A177" i="5" l="1"/>
  <c r="A178" i="5" l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l="1"/>
  <c r="A191" i="5" l="1"/>
  <c r="A192" i="5" s="1"/>
  <c r="A193" i="5" s="1"/>
  <c r="A194" i="5" s="1"/>
  <c r="A195" i="5" s="1"/>
  <c r="A196" i="5" l="1"/>
  <c r="D14" i="1"/>
  <c r="E14" i="1" l="1"/>
  <c r="G14" i="1"/>
  <c r="A197" i="5"/>
  <c r="A198" i="5" s="1"/>
  <c r="A199" i="5" s="1"/>
  <c r="A200" i="5" s="1"/>
  <c r="A201" i="5" s="1"/>
  <c r="A202" i="5" s="1"/>
  <c r="D15" i="1"/>
  <c r="E15" i="1" l="1"/>
  <c r="E19" i="1" s="1" a="1"/>
  <c r="E19" i="1" s="1"/>
  <c r="G15" i="1"/>
  <c r="D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<sst xmlns="http://schemas.openxmlformats.org/spreadsheetml/2006/main" count="22" uniqueCount="20">
  <si>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DATA</t>
  </si>
  <si>
    <t>HORA</t>
  </si>
  <si>
    <t>TRIM</t>
  </si>
  <si>
    <t>VOLUME(LTS)</t>
  </si>
  <si>
    <t>DIÁRIO BB</t>
  </si>
  <si>
    <t>DIÁRIO BE</t>
  </si>
  <si>
    <t>ARM BB</t>
  </si>
  <si>
    <t>ARM BE</t>
  </si>
  <si>
    <t>CTL</t>
  </si>
  <si>
    <t>TOTAL</t>
  </si>
  <si>
    <t>ALTURA</t>
  </si>
  <si>
    <t>TRIM TQ CENTRAL</t>
  </si>
  <si>
    <t>TRIM TQ ARMAZ</t>
  </si>
  <si>
    <t>SONDAGEM(MM)</t>
  </si>
  <si>
    <t>CAPACIDADE(LTS)</t>
  </si>
  <si>
    <t>DIFERENÇA</t>
  </si>
  <si>
    <t>%</t>
  </si>
  <si>
    <t>VOLUME</t>
  </si>
  <si>
    <t>TANQUES</t>
  </si>
  <si>
    <t>SONDAGEM DE ÓLEO DIESEL RAMPART 2500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</si>
</sst>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0"/>
      <name val="Arial Black"/>
      <family val="2"/>
    </font>
    <font>
      <sz val="14"/>
      <name val="Arial Black"/>
      <family val="2"/>
    </font>
    <font>
      <b/>
      <sz val="14"/>
      <color theme="0"/>
      <name val="Arial Black"/>
      <family val="2"/>
    </font>
    <font>
      <sz val="10"/>
      <color theme="0"/>
      <name val="Arial Black"/>
      <family val="2"/>
    </font>
    <font>
      <sz val="9"/>
      <color theme="0"/>
      <name val="Arial Black"/>
      <family val="2"/>
    </font>
    <font>
      <sz val="8"/>
      <color theme="0"/>
      <name val="Arial Black"/>
      <family val="2"/>
    </font>
    <font>
      <sz val="20"/>
      <color theme="0"/>
      <name val="Arial Black"/>
      <family val="2"/>
    </font>
    <font>
      <sz val="22"/>
      <color theme="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4" borderId="1" xfId="0" applyFill="1" applyBorder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/>
    <xf numFmtId="0" fontId="0" fillId="10" borderId="0" xfId="0" applyFill="1"/>
    <xf numFmtId="0" fontId="0" fillId="10" borderId="0" xfId="0" applyFill="1" applyBorder="1"/>
    <xf numFmtId="0" fontId="0" fillId="10" borderId="0" xfId="0" applyFill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2" borderId="4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2" fillId="6" borderId="3" xfId="0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 applyProtection="1">
      <alignment horizontal="center" vertical="center"/>
      <protection locked="0"/>
    </xf>
    <xf numFmtId="1" fontId="4" fillId="8" borderId="3" xfId="0" applyNumberFormat="1" applyFont="1" applyFill="1" applyBorder="1" applyAlignment="1" applyProtection="1">
      <alignment horizontal="center" vertical="center"/>
    </xf>
    <xf numFmtId="1" fontId="3" fillId="3" borderId="3" xfId="0" applyNumberFormat="1" applyFont="1" applyFill="1" applyBorder="1" applyAlignment="1" applyProtection="1">
      <alignment horizontal="center" vertical="center"/>
    </xf>
    <xf numFmtId="9" fontId="3" fillId="3" borderId="3" xfId="0" applyNumberFormat="1" applyFont="1" applyFill="1" applyBorder="1" applyAlignment="1" applyProtection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9" fontId="4" fillId="8" borderId="3" xfId="0" applyNumberFormat="1" applyFont="1" applyFill="1" applyBorder="1" applyAlignment="1" applyProtection="1">
      <alignment horizontal="center" vertical="center"/>
    </xf>
    <xf numFmtId="1" fontId="4" fillId="9" borderId="3" xfId="0" applyNumberFormat="1" applyFont="1" applyFill="1" applyBorder="1" applyAlignment="1" applyProtection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4" fontId="9" fillId="8" borderId="3" xfId="0" applyNumberFormat="1" applyFont="1" applyFill="1" applyBorder="1" applyAlignment="1">
      <alignment horizontal="center" vertical="center"/>
    </xf>
    <xf numFmtId="20" fontId="2" fillId="8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2800" b="1" baseline="0">
                <a:solidFill>
                  <a:schemeClr val="bg1"/>
                </a:solidFill>
              </a:rPr>
              <a:t>SONDAGEM DE TANQUES</a:t>
            </a:r>
          </a:p>
        </c:rich>
      </c:tx>
      <c:layout>
        <c:manualLayout>
          <c:xMode val="edge"/>
          <c:yMode val="edge"/>
          <c:x val="0.3013512992148768"/>
          <c:y val="2.633173801703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3442657573142677E-2"/>
          <c:y val="0.14379243789804724"/>
          <c:w val="0.8880684830248412"/>
          <c:h val="0.67726453465287828"/>
        </c:manualLayout>
      </c:layout>
      <c:bar3DChart>
        <c:barDir val="col"/>
        <c:grouping val="stacked"/>
        <c:varyColors val="0"/>
        <c:ser>
          <c:idx val="1"/>
          <c:order val="1"/>
          <c:spPr>
            <a:solidFill>
              <a:schemeClr val="accent4">
                <a:lumMod val="75000"/>
                <a:alpha val="51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SOND!$B$14:$B$18</c:f>
              <c:strCache>
                <c:ptCount val="5"/>
                <c:pt idx="0">
                  <c:v>DIÁRIO BB</c:v>
                </c:pt>
                <c:pt idx="1">
                  <c:v>DIÁRIO BE</c:v>
                </c:pt>
                <c:pt idx="2">
                  <c:v>ARM BB</c:v>
                </c:pt>
                <c:pt idx="3">
                  <c:v>ARM BE</c:v>
                </c:pt>
                <c:pt idx="4">
                  <c:v>CTL</c:v>
                </c:pt>
              </c:strCache>
            </c:strRef>
          </c:cat>
          <c:val>
            <c:numRef>
              <c:f>SOND!$D$14:$D$18</c:f>
              <c:numCache>
                <c:formatCode>0</c:formatCode>
                <c:ptCount val="5"/>
                <c:pt idx="0">
                  <c:v>6611.5</c:v>
                </c:pt>
                <c:pt idx="1">
                  <c:v>6611.5</c:v>
                </c:pt>
                <c:pt idx="2">
                  <c:v>7079.8999999999987</c:v>
                </c:pt>
                <c:pt idx="3">
                  <c:v>7168.5999999999985</c:v>
                </c:pt>
                <c:pt idx="4">
                  <c:v>8432.3999999999978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D-47FD-8F97-A2971B5408C5}"/>
            </c:ext>
          </c:extLst>
        </c:ser>
        <c:ser>
          <c:idx val="3"/>
          <c:order val="3"/>
          <c:spPr>
            <a:solidFill>
              <a:schemeClr val="bg1">
                <a:alpha val="62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SOND!$B$14:$B$18</c:f>
              <c:strCache>
                <c:ptCount val="5"/>
                <c:pt idx="0">
                  <c:v>DIÁRIO BB</c:v>
                </c:pt>
                <c:pt idx="1">
                  <c:v>DIÁRIO BE</c:v>
                </c:pt>
                <c:pt idx="2">
                  <c:v>ARM BB</c:v>
                </c:pt>
                <c:pt idx="3">
                  <c:v>ARM BE</c:v>
                </c:pt>
                <c:pt idx="4">
                  <c:v>CTL</c:v>
                </c:pt>
              </c:strCache>
            </c:strRef>
          </c:cat>
          <c:val>
            <c:numRef>
              <c:f>SOND!$G$14:$G$18</c:f>
              <c:numCache>
                <c:formatCode>0</c:formatCode>
                <c:ptCount val="5"/>
                <c:pt idx="0">
                  <c:v>1309.5</c:v>
                </c:pt>
                <c:pt idx="1">
                  <c:v>1309.5</c:v>
                </c:pt>
                <c:pt idx="2">
                  <c:v>1234.1000000000013</c:v>
                </c:pt>
                <c:pt idx="3">
                  <c:v>1145.4000000000015</c:v>
                </c:pt>
                <c:pt idx="4">
                  <c:v>30679.600000000002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FD-47FD-8F97-A2971B5408C5}"/>
            </c:ext>
          </c:extLst>
        </c:ser>
        <c:ser>
          <c:idx val="5"/>
          <c:order val="5"/>
          <c:tx>
            <c:strRef>
              <c:f>SOND!$H$14:$H$18</c:f>
              <c:strCach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10-9AFD-47FD-8F97-A2971B54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shape val="cylinder"/>
        <c:axId val="1623240527"/>
        <c:axId val="1623237199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SOND!$B$14:$B$18</c15:sqref>
                        </c15:formulaRef>
                      </c:ext>
                    </c:extLst>
                    <c:strCache>
                      <c:ptCount val="5"/>
                      <c:pt idx="0">
                        <c:v>DIÁRIO BB</c:v>
                      </c:pt>
                      <c:pt idx="1">
                        <c:v>DIÁRIO BE</c:v>
                      </c:pt>
                      <c:pt idx="2">
                        <c:v>ARM BB</c:v>
                      </c:pt>
                      <c:pt idx="3">
                        <c:v>ARM BE</c:v>
                      </c:pt>
                      <c:pt idx="4">
                        <c:v>CTL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SOND!$C$14:$C$18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1670</c:v>
                      </c:pt>
                      <c:pt idx="1">
                        <c:v>1670</c:v>
                      </c:pt>
                      <c:pt idx="2">
                        <c:v>1170</c:v>
                      </c:pt>
                      <c:pt idx="3">
                        <c:v>1180</c:v>
                      </c:pt>
                      <c:pt idx="4">
                        <c:v>160</c:v>
                      </c:pt>
                    </c:numCache>
                  </c:numRef>
                </c:val>
                <c:shape val="box"/>
                <c:extLst>
                  <c:ext xmlns:c16="http://schemas.microsoft.com/office/drawing/2014/chart" uri="{C3380CC4-5D6E-409C-BE32-E72D297353CC}">
                    <c16:uniqueId val="{00000000-9AFD-47FD-8F97-A2971B5408C5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SOND!$B$14:$B$18</c15:sqref>
                        </c15:formulaRef>
                      </c:ext>
                    </c:extLst>
                    <c:strCache>
                      <c:ptCount val="5"/>
                      <c:pt idx="0">
                        <c:v>DIÁRIO BB</c:v>
                      </c:pt>
                      <c:pt idx="1">
                        <c:v>DIÁRIO BE</c:v>
                      </c:pt>
                      <c:pt idx="2">
                        <c:v>ARM BB</c:v>
                      </c:pt>
                      <c:pt idx="3">
                        <c:v>ARM BE</c:v>
                      </c:pt>
                      <c:pt idx="4">
                        <c:v>CTL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SOND!$F$14:$F$18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7921</c:v>
                      </c:pt>
                      <c:pt idx="1">
                        <c:v>7921</c:v>
                      </c:pt>
                      <c:pt idx="2">
                        <c:v>8314</c:v>
                      </c:pt>
                      <c:pt idx="3">
                        <c:v>8314</c:v>
                      </c:pt>
                      <c:pt idx="4">
                        <c:v>39112</c:v>
                      </c:pt>
                    </c:numCache>
                  </c:numRef>
                </c:val>
                <c:shape val="box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FD-47FD-8F97-A2971B5408C5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rgbClr val="FF0000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SOND!$B$14:$B$18</c15:sqref>
                        </c15:formulaRef>
                      </c:ext>
                    </c:extLst>
                    <c:strCache>
                      <c:ptCount val="5"/>
                      <c:pt idx="0">
                        <c:v>DIÁRIO BB</c:v>
                      </c:pt>
                      <c:pt idx="1">
                        <c:v>DIÁRIO BE</c:v>
                      </c:pt>
                      <c:pt idx="2">
                        <c:v>ARM BB</c:v>
                      </c:pt>
                      <c:pt idx="3">
                        <c:v>ARM BE</c:v>
                      </c:pt>
                      <c:pt idx="4">
                        <c:v>CTL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SOND!$I$14:$I$18</c15:sqref>
                        </c15:formulaRef>
                      </c:ext>
                    </c:extLst>
                    <c:numCache>
                      <c:formatCode>0</c:formatCode>
                      <c:ptCount val="5"/>
                      <c:pt idx="0">
                        <c:v>398</c:v>
                      </c:pt>
                      <c:pt idx="1">
                        <c:v>398</c:v>
                      </c:pt>
                      <c:pt idx="2">
                        <c:v>830</c:v>
                      </c:pt>
                      <c:pt idx="3">
                        <c:v>830</c:v>
                      </c:pt>
                      <c:pt idx="4">
                        <c:v>3818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FD-47FD-8F97-A2971B5408C5}"/>
                  </c:ext>
                </c:extLst>
              </c15:ser>
            </c15:filteredBarSeries>
          </c:ext>
        </c:extLst>
      </c:bar3DChart>
      <c:catAx>
        <c:axId val="16232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237199"/>
        <c:crosses val="autoZero"/>
        <c:auto val="1"/>
        <c:lblAlgn val="ctr"/>
        <c:lblOffset val="100"/>
        <c:noMultiLvlLbl val="0"/>
      </c:catAx>
      <c:valAx>
        <c:axId val="16232371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62324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nmar.com.tr/saam-again-chooses-sanmar-for-panama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692728</xdr:colOff>
      <xdr:row>4</xdr:row>
      <xdr:rowOff>435306</xdr:rowOff>
    </xdr:from>
    <xdr:to>
      <xdr:col>9</xdr:col>
      <xdr:colOff>629893</xdr:colOff>
      <xdr:row>9</xdr:row>
      <xdr:rowOff>489662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B019672-943D-7F68-CF30-95B5D7936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l="13526" t="16508" r="15113"/>
        <a:stretch/>
      </xdr:blipFill>
      <xdr:spPr>
        <a:xfrm rot="21400430">
          <a:off x="11436928" y="435306"/>
          <a:ext cx="3518565" cy="2578481"/>
        </a:xfrm>
        <a:prstGeom prst="rect">
          <a:avLst/>
        </a:prstGeom>
      </xdr:spPr>
    </xdr:pic>
    <xdr:clientData/>
  </xdr:twoCellAnchor>
  <xdr:twoCellAnchor>
    <xdr:from>
      <xdr:col>6</xdr:col>
      <xdr:colOff>10415</xdr:colOff>
      <xdr:row>9</xdr:row>
      <xdr:rowOff>267556</xdr:rowOff>
    </xdr:from>
    <xdr:to>
      <xdr:col>11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DCB90A-D013-5B13-AD12-6686A8672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FE33-D039-48E5-BCDB-E5837E8067E3}">
  <sheetPr codeName="Planilha1">
    <pageSetUpPr autoPageBreaks="0"/>
  </sheetPr>
  <dimension ref="A1:X398"/>
  <sheetViews>
    <sheetView showGridLines="0" showRowColHeaders="0" tabSelected="1" topLeftCell="B5" zoomScaleNormal="100" zoomScalePageLayoutView="49" workbookViewId="0">
      <selection activeCell="C16" sqref="C16"/>
    </sheetView>
  </sheetViews>
  <sheetFormatPr defaultColWidth="0" defaultRowHeight="24.75" customHeight="1" zeroHeight="1" outlineLevelCol="1" x14ac:dyDescent="0.25"/>
  <cols>
    <col min="1" max="1" width="23.28515625" hidden="1" customWidth="1"/>
    <col min="2" max="11" width="26.85546875" customWidth="1"/>
    <col min="12" max="13" width="0" hidden="1" customWidth="1"/>
    <col min="14" max="14" width="0" hidden="1" customWidth="1" outlineLevel="1"/>
    <col min="15" max="15" width="0" hidden="1" customWidth="1" collapsed="1"/>
    <col min="16" max="16" width="0" hidden="1" customWidth="1"/>
    <col min="17" max="16384" width="26.28515625" hidden="1"/>
  </cols>
  <sheetData>
    <row r="1" spans="1:24" ht="39.75" hidden="1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5"/>
      <c r="K1" s="15"/>
      <c r="L1" s="15"/>
      <c r="M1" s="15"/>
      <c r="N1" s="18"/>
      <c r="O1" s="18"/>
      <c r="P1" s="18"/>
      <c r="Q1" s="18"/>
      <c r="R1" s="18"/>
      <c r="S1" s="18"/>
      <c r="T1" s="18"/>
      <c r="U1" s="18"/>
      <c r="V1" s="18"/>
      <c r="W1" s="18"/>
      <c r="X1" s="12"/>
    </row>
    <row r="2" spans="1:24" ht="39.75" hidden="1" customHeight="1" x14ac:dyDescent="0.25">
      <c r="A2" s="14"/>
      <c r="B2" s="15"/>
      <c r="C2" s="15"/>
      <c r="D2" s="14"/>
      <c r="E2" s="14"/>
      <c r="F2" s="14"/>
      <c r="G2" s="14"/>
      <c r="H2" s="14"/>
      <c r="I2" s="14"/>
      <c r="J2" s="15"/>
      <c r="K2" s="15"/>
      <c r="L2" s="15"/>
      <c r="M2" s="15"/>
      <c r="N2" s="18"/>
      <c r="O2" s="18"/>
      <c r="P2" s="18"/>
      <c r="Q2" s="18"/>
      <c r="R2" s="18"/>
      <c r="S2" s="18"/>
      <c r="T2" s="18"/>
      <c r="U2" s="18"/>
      <c r="V2" s="18"/>
      <c r="W2" s="18"/>
      <c r="X2" s="12"/>
    </row>
    <row r="3" spans="1:24" ht="39.75" hidden="1" customHeight="1" x14ac:dyDescent="0.25">
      <c r="A3" s="14"/>
      <c r="B3" s="15"/>
      <c r="C3" s="15"/>
      <c r="D3" s="14"/>
      <c r="E3" s="14"/>
      <c r="F3" s="14"/>
      <c r="G3" s="14"/>
      <c r="H3" s="14"/>
      <c r="I3" s="14"/>
      <c r="J3" s="15"/>
      <c r="K3" s="15"/>
      <c r="L3" s="15"/>
      <c r="M3" s="15"/>
      <c r="N3" s="18"/>
      <c r="O3" s="18"/>
      <c r="P3" s="18"/>
      <c r="Q3" s="18"/>
      <c r="R3" s="18"/>
      <c r="S3" s="18"/>
      <c r="T3" s="18"/>
      <c r="U3" s="18"/>
      <c r="V3" s="18"/>
      <c r="W3" s="18"/>
      <c r="X3" s="12"/>
    </row>
    <row r="4" spans="1:24" ht="39.75" hidden="1" customHeight="1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8"/>
      <c r="O4" s="18"/>
      <c r="P4" s="18"/>
      <c r="Q4" s="18"/>
      <c r="R4" s="18"/>
      <c r="S4" s="18"/>
      <c r="T4" s="18"/>
      <c r="U4" s="18"/>
      <c r="V4" s="18"/>
      <c r="W4" s="18"/>
      <c r="X4" s="12"/>
    </row>
    <row r="5" spans="1:24" ht="39.75" customHeight="1" x14ac:dyDescent="0.25">
      <c r="A5" s="14"/>
      <c r="B5" s="43" t="s">
        <v>19</v>
      </c>
      <c r="C5" s="44"/>
      <c r="D5" s="44"/>
      <c r="E5" s="44"/>
      <c r="F5" s="45"/>
      <c r="G5" s="22"/>
      <c r="H5" s="22"/>
      <c r="I5" s="22"/>
      <c r="J5" s="22"/>
      <c r="K5" s="22"/>
      <c r="L5" s="15"/>
      <c r="M5" s="15"/>
      <c r="N5" s="18"/>
      <c r="O5" s="18"/>
      <c r="P5" s="18"/>
      <c r="Q5" s="18"/>
      <c r="R5" s="18"/>
      <c r="S5" s="18"/>
      <c r="T5" s="18"/>
      <c r="U5" s="18"/>
      <c r="V5" s="18"/>
      <c r="W5" s="18"/>
      <c r="X5" s="12"/>
    </row>
    <row r="6" spans="1:24" ht="39.75" customHeight="1" x14ac:dyDescent="0.25">
      <c r="A6" s="14"/>
      <c r="B6" s="46"/>
      <c r="C6" s="47"/>
      <c r="D6" s="47"/>
      <c r="E6" s="47"/>
      <c r="F6" s="48"/>
      <c r="G6" s="22"/>
      <c r="H6" s="22"/>
      <c r="I6" s="23"/>
      <c r="J6" s="23"/>
      <c r="K6" s="23"/>
      <c r="L6" s="15"/>
      <c r="M6" s="15"/>
      <c r="N6" s="18"/>
      <c r="O6" s="18"/>
      <c r="P6" s="18"/>
      <c r="Q6" s="18"/>
      <c r="R6" s="18"/>
      <c r="S6" s="18"/>
      <c r="T6" s="18"/>
      <c r="U6" s="18"/>
      <c r="V6" s="18"/>
      <c r="W6" s="18"/>
      <c r="X6" s="12"/>
    </row>
    <row r="7" spans="1:24" s="10" customFormat="1" ht="39.75" customHeight="1" x14ac:dyDescent="0.25">
      <c r="A7" s="16"/>
      <c r="B7" s="49"/>
      <c r="C7" s="50"/>
      <c r="D7" s="50"/>
      <c r="E7" s="50"/>
      <c r="F7" s="51"/>
      <c r="G7" s="24"/>
      <c r="H7" s="24"/>
      <c r="I7" s="25"/>
      <c r="J7" s="25"/>
      <c r="K7" s="25"/>
      <c r="L7" s="17"/>
      <c r="M7" s="17"/>
      <c r="N7" s="19"/>
      <c r="O7" s="19"/>
      <c r="P7" s="19"/>
      <c r="Q7" s="19"/>
      <c r="R7" s="19"/>
      <c r="S7" s="19"/>
      <c r="T7" s="19"/>
      <c r="U7" s="19"/>
      <c r="V7" s="19"/>
      <c r="W7" s="19"/>
      <c r="X7" s="13"/>
    </row>
    <row r="8" spans="1:24" s="10" customFormat="1" ht="39.75" customHeight="1" x14ac:dyDescent="0.25">
      <c r="A8" s="16"/>
      <c r="B8" s="33" t="s">
        <v>0</v>
      </c>
      <c r="C8" s="54">
        <f ca="1">NOW()</f>
        <v>44867.260562731484</v>
      </c>
      <c r="D8" s="54"/>
      <c r="E8" s="54"/>
      <c r="F8" s="54"/>
      <c r="G8" s="24"/>
      <c r="H8" s="24"/>
      <c r="I8" s="25"/>
      <c r="J8" s="25"/>
      <c r="K8" s="25"/>
      <c r="L8" s="17"/>
      <c r="M8" s="17"/>
      <c r="N8" s="19"/>
      <c r="O8" s="19"/>
      <c r="P8" s="19"/>
      <c r="Q8" s="19"/>
      <c r="R8" s="19"/>
      <c r="S8" s="19"/>
      <c r="T8" s="19"/>
      <c r="U8" s="19"/>
      <c r="V8" s="19"/>
      <c r="W8" s="19"/>
      <c r="X8" s="13"/>
    </row>
    <row r="9" spans="1:24" s="10" customFormat="1" ht="39.75" customHeight="1" x14ac:dyDescent="0.25">
      <c r="A9" s="16"/>
      <c r="B9" s="33" t="s">
        <v>1</v>
      </c>
      <c r="C9" s="55">
        <f ca="1">NOW()</f>
        <v>44867.260562731484</v>
      </c>
      <c r="D9" s="55"/>
      <c r="E9" s="55"/>
      <c r="F9" s="55"/>
      <c r="G9" s="24"/>
      <c r="H9" s="24"/>
      <c r="I9" s="25"/>
      <c r="J9" s="25"/>
      <c r="K9" s="25"/>
      <c r="L9" s="17"/>
      <c r="M9" s="17"/>
      <c r="N9" s="19"/>
      <c r="O9" s="19"/>
      <c r="P9" s="19"/>
      <c r="Q9" s="19"/>
      <c r="R9" s="19"/>
      <c r="S9" s="19"/>
      <c r="T9" s="19"/>
      <c r="U9" s="19"/>
      <c r="V9" s="19"/>
      <c r="W9" s="19"/>
      <c r="X9" s="13"/>
    </row>
    <row r="10" spans="1:24" s="10" customFormat="1" ht="39.75" customHeight="1" x14ac:dyDescent="0.25">
      <c r="A10" s="16"/>
      <c r="B10" s="52" t="s">
        <v>2</v>
      </c>
      <c r="C10" s="56" t="s">
        <v>13</v>
      </c>
      <c r="D10" s="57" t="s">
        <v>3</v>
      </c>
      <c r="E10" s="52" t="s">
        <v>16</v>
      </c>
      <c r="F10" s="58" t="s">
        <v>14</v>
      </c>
      <c r="G10" s="28"/>
      <c r="H10" s="28"/>
      <c r="I10" s="29"/>
      <c r="J10" s="29"/>
      <c r="K10" s="29"/>
      <c r="L10" s="17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3"/>
    </row>
    <row r="11" spans="1:24" s="10" customFormat="1" ht="39.75" customHeight="1" x14ac:dyDescent="0.25">
      <c r="A11" s="16"/>
      <c r="B11" s="52"/>
      <c r="C11" s="56"/>
      <c r="D11" s="57"/>
      <c r="E11" s="52"/>
      <c r="F11" s="58"/>
      <c r="G11" s="59" t="s">
        <v>15</v>
      </c>
      <c r="H11" s="11"/>
      <c r="I11" s="20"/>
      <c r="J11" s="20"/>
      <c r="K11" s="20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3"/>
    </row>
    <row r="12" spans="1:24" s="10" customFormat="1" ht="39.75" customHeight="1" x14ac:dyDescent="0.25">
      <c r="A12" s="16"/>
      <c r="B12" s="40">
        <v>-30</v>
      </c>
      <c r="C12" s="56"/>
      <c r="D12" s="57"/>
      <c r="E12" s="52"/>
      <c r="F12" s="58"/>
      <c r="G12" s="59"/>
      <c r="H12" s="11"/>
      <c r="I12" s="20"/>
      <c r="J12" s="20"/>
      <c r="K12" s="20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3"/>
    </row>
    <row r="13" spans="1:24" s="10" customFormat="1" ht="39.75" customHeight="1" x14ac:dyDescent="0.25">
      <c r="A13" s="16"/>
      <c r="B13" s="33" t="s">
        <v>18</v>
      </c>
      <c r="C13" s="56"/>
      <c r="D13" s="57"/>
      <c r="E13" s="52"/>
      <c r="F13" s="58"/>
      <c r="G13" s="60"/>
      <c r="H13" s="11"/>
      <c r="I13" s="20"/>
      <c r="J13" s="20"/>
      <c r="K13" s="20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3"/>
    </row>
    <row r="14" spans="1:24" s="10" customFormat="1" ht="39.75" customHeight="1" x14ac:dyDescent="0.25">
      <c r="A14" s="16"/>
      <c r="B14" s="33" t="s">
        <v>4</v>
      </c>
      <c r="C14" s="34">
        <v>1670</v>
      </c>
      <c r="D14" s="35">
        <f>LOOKUP(C14,DIARIO!A1:A201,DIARIO!B1:B201)</f>
        <v>6611.5</v>
      </c>
      <c r="E14" s="41">
        <f>(D14/(F14-I14))</f>
        <v>0.87883822942974876</v>
      </c>
      <c r="F14" s="42">
        <v>7921</v>
      </c>
      <c r="G14" s="38">
        <f>F14-D14</f>
        <v>1309.5</v>
      </c>
      <c r="H14" s="26">
        <v>1</v>
      </c>
      <c r="I14" s="27">
        <f>F14-7523</f>
        <v>398</v>
      </c>
      <c r="K14" s="20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3"/>
    </row>
    <row r="15" spans="1:24" s="10" customFormat="1" ht="39.75" customHeight="1" x14ac:dyDescent="0.25">
      <c r="A15" s="16"/>
      <c r="B15" s="33" t="s">
        <v>5</v>
      </c>
      <c r="C15" s="34">
        <v>1670</v>
      </c>
      <c r="D15" s="35">
        <f>LOOKUP(C15,DIARIO!A2:A202,DIARIO!B2:B202)</f>
        <v>6611.5</v>
      </c>
      <c r="E15" s="41">
        <f>(D15/(F15-I15))</f>
        <v>0.87883822942974876</v>
      </c>
      <c r="F15" s="42">
        <v>7921</v>
      </c>
      <c r="G15" s="38">
        <f>F15-D15</f>
        <v>1309.5</v>
      </c>
      <c r="H15" s="26">
        <v>1</v>
      </c>
      <c r="I15" s="27">
        <f>F15-7523</f>
        <v>398</v>
      </c>
      <c r="K15" s="20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3"/>
    </row>
    <row r="16" spans="1:24" s="10" customFormat="1" ht="39.75" customHeight="1" x14ac:dyDescent="0.25">
      <c r="A16" s="16"/>
      <c r="B16" s="33" t="s">
        <v>6</v>
      </c>
      <c r="C16" s="34">
        <v>1170</v>
      </c>
      <c r="D16" s="35">
        <f>VLOOKUP(C$16,ARM!A$2:L$133,MATCH(B$12,ARM!A$2:L$2,0))</f>
        <v>7079.8999999999987</v>
      </c>
      <c r="E16" s="41">
        <f>(D16/(F16-I16))</f>
        <v>0.94600481026189187</v>
      </c>
      <c r="F16" s="42">
        <v>8314</v>
      </c>
      <c r="G16" s="39">
        <f>F16-D16</f>
        <v>1234.1000000000013</v>
      </c>
      <c r="H16" s="26">
        <v>1</v>
      </c>
      <c r="I16" s="27">
        <v>830</v>
      </c>
      <c r="K16" s="20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3"/>
    </row>
    <row r="17" spans="1:24" s="10" customFormat="1" ht="39.75" customHeight="1" x14ac:dyDescent="0.25">
      <c r="A17" s="16"/>
      <c r="B17" s="33" t="s">
        <v>7</v>
      </c>
      <c r="C17" s="34">
        <v>1180</v>
      </c>
      <c r="D17" s="35">
        <f>VLOOKUP(C$17,ARM!A$2:L$133,MATCH(B$12,ARM!A$2:L$2,0))</f>
        <v>7168.5999999999985</v>
      </c>
      <c r="E17" s="41">
        <f t="shared" ref="E17:E18" si="0">(D17/(F17-I17))</f>
        <v>0.9578567610903258</v>
      </c>
      <c r="F17" s="42">
        <v>8314</v>
      </c>
      <c r="G17" s="38">
        <f>F17-D17</f>
        <v>1145.4000000000015</v>
      </c>
      <c r="H17" s="26">
        <v>1</v>
      </c>
      <c r="I17" s="27">
        <v>830</v>
      </c>
      <c r="K17" s="20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3"/>
    </row>
    <row r="18" spans="1:24" ht="39.75" customHeight="1" x14ac:dyDescent="0.25">
      <c r="A18" s="14"/>
      <c r="B18" s="33" t="s">
        <v>8</v>
      </c>
      <c r="C18" s="34">
        <v>160</v>
      </c>
      <c r="D18" s="35">
        <f>VLOOKUP(C18,CTL!A2:L133,MATCH(B12,CTL!A2:L2,0))</f>
        <v>8432.3999999999978</v>
      </c>
      <c r="E18" s="41">
        <f t="shared" si="0"/>
        <v>0.23891879639598793</v>
      </c>
      <c r="F18" s="42">
        <f>LOOKUP(B12,CTL!B134:L134,CTL!B133:L133)</f>
        <v>39112</v>
      </c>
      <c r="G18" s="38">
        <f>F18-D18</f>
        <v>30679.600000000002</v>
      </c>
      <c r="H18" s="26">
        <v>1</v>
      </c>
      <c r="I18" s="27">
        <v>3818</v>
      </c>
      <c r="K18" s="21"/>
      <c r="L18" s="18"/>
      <c r="M18" s="15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2"/>
    </row>
    <row r="19" spans="1:24" ht="39.75" customHeight="1" x14ac:dyDescent="0.25">
      <c r="A19" s="14"/>
      <c r="B19" s="52" t="s">
        <v>9</v>
      </c>
      <c r="C19" s="52"/>
      <c r="D19" s="36">
        <f>SUM(D14:D18)</f>
        <v>35903.899999999994</v>
      </c>
      <c r="E19" s="37" cm="1">
        <f t="array" ref="E19">SUM(E14:E18/5)</f>
        <v>0.78009136532154055</v>
      </c>
      <c r="F19" s="36">
        <f>SUM(F14:F18)</f>
        <v>71582</v>
      </c>
      <c r="G19" s="15"/>
      <c r="H19" s="15"/>
      <c r="I19" s="21"/>
      <c r="J19" s="21"/>
      <c r="K19" s="21"/>
      <c r="L19" s="18"/>
      <c r="M19" s="15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2"/>
    </row>
    <row r="20" spans="1:24" ht="24.75" hidden="1" customHeight="1" x14ac:dyDescent="0.25">
      <c r="A20" s="14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2"/>
    </row>
    <row r="21" spans="1:24" ht="24.75" hidden="1" customHeight="1" x14ac:dyDescent="0.25">
      <c r="A21" s="14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2"/>
    </row>
    <row r="22" spans="1:24" ht="24.75" hidden="1" customHeight="1" x14ac:dyDescent="0.25">
      <c r="A22" s="14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2"/>
    </row>
    <row r="23" spans="1:24" ht="24.75" hidden="1" customHeight="1" x14ac:dyDescent="0.25">
      <c r="A23" s="14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2"/>
    </row>
    <row r="24" spans="1:24" ht="24.75" hidden="1" customHeight="1" x14ac:dyDescent="0.25">
      <c r="A24" s="14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2"/>
    </row>
    <row r="25" spans="1:24" ht="24.75" hidden="1" customHeight="1" x14ac:dyDescent="0.25">
      <c r="A25" s="14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2"/>
    </row>
    <row r="26" spans="1:24" ht="24.75" hidden="1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5"/>
      <c r="K26" s="15"/>
      <c r="L26" s="15"/>
      <c r="M26" s="15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2"/>
    </row>
    <row r="27" spans="1:24" ht="24.75" hidden="1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5"/>
      <c r="K27" s="15"/>
      <c r="L27" s="15"/>
      <c r="M27" s="15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2"/>
    </row>
    <row r="28" spans="1:24" ht="24.75" hidden="1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5"/>
      <c r="K28" s="15"/>
      <c r="L28" s="15"/>
      <c r="M28" s="15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2"/>
    </row>
    <row r="29" spans="1:24" ht="24.75" hidden="1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5"/>
      <c r="K29" s="15"/>
      <c r="L29" s="15"/>
      <c r="M29" s="15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2"/>
    </row>
    <row r="30" spans="1:24" ht="24.75" hidden="1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5"/>
      <c r="K30" s="15"/>
      <c r="L30" s="15"/>
      <c r="M30" s="15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2"/>
    </row>
    <row r="31" spans="1:24" ht="24.75" hidden="1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5"/>
      <c r="K31" s="15"/>
      <c r="L31" s="15"/>
      <c r="M31" s="15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2"/>
    </row>
    <row r="32" spans="1:24" ht="24.75" hidden="1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5"/>
      <c r="K32" s="15"/>
      <c r="L32" s="15"/>
      <c r="M32" s="15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2"/>
    </row>
    <row r="33" spans="1:24" ht="24.75" hidden="1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5"/>
      <c r="K33" s="15"/>
      <c r="L33" s="15"/>
      <c r="M33" s="15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2"/>
    </row>
    <row r="34" spans="1:24" ht="24.75" hidden="1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4" ht="24.75" hidden="1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4" ht="24.75" hidden="1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4" ht="24.75" hidden="1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24" ht="24.75" hidden="1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24" ht="24.75" hidden="1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24" ht="24.75" hidden="1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24" ht="24.75" hidden="1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65" customFormat="1" ht="24.75" hidden="1" customHeight="1" x14ac:dyDescent="0.25"/>
    <row r="66" customFormat="1" ht="24.75" hidden="1" customHeight="1" x14ac:dyDescent="0.25"/>
    <row r="67" customFormat="1" ht="24.75" hidden="1" customHeight="1" x14ac:dyDescent="0.25"/>
    <row r="68" customFormat="1" ht="24.75" hidden="1" customHeight="1" x14ac:dyDescent="0.25"/>
    <row r="69" customFormat="1" ht="24.75" hidden="1" customHeight="1" x14ac:dyDescent="0.25"/>
    <row r="70" customFormat="1" ht="24.75" hidden="1" customHeight="1" x14ac:dyDescent="0.25"/>
    <row r="71" customFormat="1" ht="24.75" hidden="1" customHeight="1" x14ac:dyDescent="0.25"/>
    <row r="72" customFormat="1" ht="24.75" hidden="1" customHeight="1" x14ac:dyDescent="0.25"/>
    <row r="73" customFormat="1" ht="24.75" hidden="1" customHeight="1" x14ac:dyDescent="0.25"/>
    <row r="74" customFormat="1" ht="24.75" hidden="1" customHeight="1" x14ac:dyDescent="0.25"/>
    <row r="75" customFormat="1" ht="24.75" hidden="1" customHeight="1" x14ac:dyDescent="0.25"/>
    <row r="76" customFormat="1" ht="24.75" hidden="1" customHeight="1" x14ac:dyDescent="0.25"/>
    <row r="77" customFormat="1" ht="24.75" hidden="1" customHeight="1" x14ac:dyDescent="0.25"/>
    <row r="78" customFormat="1" ht="24.75" hidden="1" customHeight="1" x14ac:dyDescent="0.25"/>
    <row r="79" customFormat="1" ht="24.75" hidden="1" customHeight="1" x14ac:dyDescent="0.25"/>
    <row r="80" customFormat="1" ht="24.75" hidden="1" customHeight="1" x14ac:dyDescent="0.25"/>
    <row r="81" customFormat="1" ht="24.75" hidden="1" customHeight="1" x14ac:dyDescent="0.25"/>
    <row r="82" customFormat="1" ht="24.75" hidden="1" customHeight="1" x14ac:dyDescent="0.25"/>
    <row r="83" customFormat="1" ht="24.75" hidden="1" customHeight="1" x14ac:dyDescent="0.25"/>
    <row r="84" customFormat="1" ht="24.75" hidden="1" customHeight="1" x14ac:dyDescent="0.25"/>
    <row r="85" customFormat="1" ht="24.75" hidden="1" customHeight="1" x14ac:dyDescent="0.25"/>
    <row r="86" customFormat="1" ht="24.75" hidden="1" customHeight="1" x14ac:dyDescent="0.25"/>
    <row r="87" customFormat="1" ht="24.75" hidden="1" customHeight="1" x14ac:dyDescent="0.25"/>
    <row r="88" customFormat="1" ht="24.75" hidden="1" customHeight="1" x14ac:dyDescent="0.25"/>
    <row r="89" customFormat="1" ht="24.75" hidden="1" customHeight="1" x14ac:dyDescent="0.25"/>
    <row r="90" customFormat="1" ht="24.75" hidden="1" customHeight="1" x14ac:dyDescent="0.25"/>
    <row r="91" customFormat="1" ht="24.75" hidden="1" customHeight="1" x14ac:dyDescent="0.25"/>
    <row r="92" customFormat="1" ht="24.75" hidden="1" customHeight="1" x14ac:dyDescent="0.25"/>
    <row r="93" customFormat="1" ht="24.75" hidden="1" customHeight="1" x14ac:dyDescent="0.25"/>
    <row r="94" customFormat="1" ht="24.75" hidden="1" customHeight="1" x14ac:dyDescent="0.25"/>
    <row r="95" customFormat="1" ht="24.75" hidden="1" customHeight="1" x14ac:dyDescent="0.25"/>
    <row r="96" customFormat="1" ht="24.75" hidden="1" customHeight="1" x14ac:dyDescent="0.25"/>
    <row r="97" customFormat="1" ht="24.75" hidden="1" customHeight="1" x14ac:dyDescent="0.25"/>
    <row r="98" customFormat="1" ht="24.75" hidden="1" customHeight="1" x14ac:dyDescent="0.25"/>
    <row r="99" customFormat="1" ht="24.75" hidden="1" customHeight="1" x14ac:dyDescent="0.25"/>
    <row r="100" customFormat="1" ht="24.75" hidden="1" customHeight="1" x14ac:dyDescent="0.25"/>
    <row r="101" customFormat="1" ht="24.75" hidden="1" customHeight="1" x14ac:dyDescent="0.25"/>
    <row r="102" customFormat="1" ht="24.75" hidden="1" customHeight="1" x14ac:dyDescent="0.25"/>
    <row r="103" customFormat="1" ht="24.75" hidden="1" customHeight="1" x14ac:dyDescent="0.25"/>
    <row r="104" customFormat="1" ht="24.75" hidden="1" customHeight="1" x14ac:dyDescent="0.25"/>
    <row r="105" customFormat="1" ht="24.75" hidden="1" customHeight="1" x14ac:dyDescent="0.25"/>
    <row r="106" customFormat="1" ht="24.75" hidden="1" customHeight="1" x14ac:dyDescent="0.25"/>
    <row r="107" customFormat="1" ht="24.75" hidden="1" customHeight="1" x14ac:dyDescent="0.25"/>
    <row r="108" customFormat="1" ht="24.75" hidden="1" customHeight="1" x14ac:dyDescent="0.25"/>
    <row r="109" customFormat="1" ht="24.75" hidden="1" customHeight="1" x14ac:dyDescent="0.25"/>
    <row r="110" customFormat="1" ht="24.75" hidden="1" customHeight="1" x14ac:dyDescent="0.25"/>
    <row r="111" customFormat="1" ht="24.75" hidden="1" customHeight="1" x14ac:dyDescent="0.25"/>
    <row r="112" customFormat="1" ht="24.75" hidden="1" customHeight="1" x14ac:dyDescent="0.25"/>
    <row r="113" customFormat="1" ht="24.75" hidden="1" customHeight="1" x14ac:dyDescent="0.25"/>
    <row r="114" customFormat="1" ht="24.75" hidden="1" customHeight="1" x14ac:dyDescent="0.25"/>
    <row r="115" customFormat="1" ht="24.75" hidden="1" customHeight="1" x14ac:dyDescent="0.25"/>
    <row r="116" customFormat="1" ht="24.75" hidden="1" customHeight="1" x14ac:dyDescent="0.25"/>
    <row r="117" customFormat="1" ht="24.75" hidden="1" customHeight="1" x14ac:dyDescent="0.25"/>
    <row r="118" customFormat="1" ht="24.75" hidden="1" customHeight="1" x14ac:dyDescent="0.25"/>
    <row r="119" customFormat="1" ht="24.75" hidden="1" customHeight="1" x14ac:dyDescent="0.25"/>
    <row r="120" customFormat="1" ht="24.75" hidden="1" customHeight="1" x14ac:dyDescent="0.25"/>
    <row r="121" customFormat="1" ht="24.75" hidden="1" customHeight="1" x14ac:dyDescent="0.25"/>
    <row r="122" customFormat="1" ht="24.75" hidden="1" customHeight="1" x14ac:dyDescent="0.25"/>
    <row r="123" customFormat="1" ht="24.75" hidden="1" customHeight="1" x14ac:dyDescent="0.25"/>
    <row r="124" customFormat="1" ht="24.75" hidden="1" customHeight="1" x14ac:dyDescent="0.25"/>
    <row r="125" customFormat="1" ht="24.75" hidden="1" customHeight="1" x14ac:dyDescent="0.25"/>
    <row r="126" customFormat="1" ht="24.75" hidden="1" customHeight="1" x14ac:dyDescent="0.25"/>
    <row r="127" customFormat="1" ht="24.75" hidden="1" customHeight="1" x14ac:dyDescent="0.25"/>
    <row r="128" customFormat="1" ht="24.75" hidden="1" customHeight="1" x14ac:dyDescent="0.25"/>
    <row r="129" customFormat="1" ht="24.75" hidden="1" customHeight="1" x14ac:dyDescent="0.25"/>
    <row r="130" customFormat="1" ht="24.75" hidden="1" customHeight="1" x14ac:dyDescent="0.25"/>
    <row r="131" customFormat="1" ht="24.75" hidden="1" customHeight="1" x14ac:dyDescent="0.25"/>
    <row r="132" customFormat="1" ht="24.75" hidden="1" customHeight="1" x14ac:dyDescent="0.25"/>
    <row r="133" customFormat="1" ht="24.75" hidden="1" customHeight="1" x14ac:dyDescent="0.25"/>
    <row r="134" customFormat="1" ht="24.75" hidden="1" customHeight="1" x14ac:dyDescent="0.25"/>
    <row r="135" customFormat="1" ht="24.75" hidden="1" customHeight="1" x14ac:dyDescent="0.25"/>
    <row r="136" customFormat="1" ht="24.75" hidden="1" customHeight="1" x14ac:dyDescent="0.25"/>
    <row r="137" customFormat="1" ht="24.75" hidden="1" customHeight="1" x14ac:dyDescent="0.25"/>
    <row r="138" customFormat="1" ht="24.75" hidden="1" customHeight="1" x14ac:dyDescent="0.25"/>
    <row r="139" customFormat="1" ht="24.75" hidden="1" customHeight="1" x14ac:dyDescent="0.25"/>
    <row r="140" customFormat="1" ht="24.75" hidden="1" customHeight="1" x14ac:dyDescent="0.25"/>
    <row r="141" customFormat="1" ht="24.75" hidden="1" customHeight="1" x14ac:dyDescent="0.25"/>
    <row r="142" customFormat="1" ht="24.75" hidden="1" customHeight="1" x14ac:dyDescent="0.25"/>
    <row r="143" customFormat="1" ht="24.75" hidden="1" customHeight="1" x14ac:dyDescent="0.25"/>
    <row r="144" customFormat="1" ht="24.75" hidden="1" customHeight="1" x14ac:dyDescent="0.25"/>
    <row r="145" customFormat="1" ht="24.75" hidden="1" customHeight="1" x14ac:dyDescent="0.25"/>
    <row r="146" customFormat="1" ht="24.75" hidden="1" customHeight="1" x14ac:dyDescent="0.25"/>
    <row r="147" customFormat="1" ht="24.75" hidden="1" customHeight="1" x14ac:dyDescent="0.25"/>
    <row r="148" customFormat="1" ht="24.75" hidden="1" customHeight="1" x14ac:dyDescent="0.25"/>
    <row r="149" customFormat="1" ht="24.75" hidden="1" customHeight="1" x14ac:dyDescent="0.25"/>
    <row r="150" customFormat="1" ht="24.75" hidden="1" customHeight="1" x14ac:dyDescent="0.25"/>
    <row r="151" customFormat="1" ht="24.75" hidden="1" customHeight="1" x14ac:dyDescent="0.25"/>
    <row r="152" customFormat="1" ht="24.75" hidden="1" customHeight="1" x14ac:dyDescent="0.25"/>
    <row r="153" customFormat="1" ht="24.75" hidden="1" customHeight="1" x14ac:dyDescent="0.25"/>
    <row r="154" customFormat="1" ht="24.75" hidden="1" customHeight="1" x14ac:dyDescent="0.25"/>
    <row r="155" customFormat="1" ht="24.75" hidden="1" customHeight="1" x14ac:dyDescent="0.25"/>
    <row r="156" customFormat="1" ht="24.75" hidden="1" customHeight="1" x14ac:dyDescent="0.25"/>
    <row r="157" customFormat="1" ht="24.75" hidden="1" customHeight="1" x14ac:dyDescent="0.25"/>
    <row r="158" customFormat="1" ht="24.75" hidden="1" customHeight="1" x14ac:dyDescent="0.25"/>
    <row r="159" customFormat="1" ht="24.75" hidden="1" customHeight="1" x14ac:dyDescent="0.25"/>
    <row r="160" customFormat="1" ht="24.75" hidden="1" customHeight="1" x14ac:dyDescent="0.25"/>
    <row r="161" customFormat="1" ht="24.75" hidden="1" customHeight="1" x14ac:dyDescent="0.25"/>
    <row r="162" customFormat="1" ht="24.75" hidden="1" customHeight="1" x14ac:dyDescent="0.25"/>
    <row r="163" customFormat="1" ht="24.75" hidden="1" customHeight="1" x14ac:dyDescent="0.25"/>
    <row r="164" customFormat="1" ht="24.75" hidden="1" customHeight="1" x14ac:dyDescent="0.25"/>
    <row r="165" customFormat="1" ht="24.75" hidden="1" customHeight="1" x14ac:dyDescent="0.25"/>
    <row r="166" customFormat="1" ht="24.75" hidden="1" customHeight="1" x14ac:dyDescent="0.25"/>
    <row r="167" customFormat="1" ht="24.75" hidden="1" customHeight="1" x14ac:dyDescent="0.25"/>
    <row r="168" customFormat="1" ht="24.75" hidden="1" customHeight="1" x14ac:dyDescent="0.25"/>
    <row r="169" customFormat="1" ht="24.75" hidden="1" customHeight="1" x14ac:dyDescent="0.25"/>
    <row r="170" customFormat="1" ht="24.75" hidden="1" customHeight="1" x14ac:dyDescent="0.25"/>
    <row r="171" customFormat="1" ht="24.75" hidden="1" customHeight="1" x14ac:dyDescent="0.25"/>
    <row r="172" customFormat="1" ht="24.75" hidden="1" customHeight="1" x14ac:dyDescent="0.25"/>
    <row r="173" customFormat="1" ht="24.75" hidden="1" customHeight="1" x14ac:dyDescent="0.25"/>
    <row r="174" customFormat="1" ht="24.75" hidden="1" customHeight="1" x14ac:dyDescent="0.25"/>
    <row r="175" customFormat="1" ht="24.75" hidden="1" customHeight="1" x14ac:dyDescent="0.25"/>
    <row r="176" customFormat="1" ht="24.75" hidden="1" customHeight="1" x14ac:dyDescent="0.25"/>
    <row r="177" customFormat="1" ht="24.75" hidden="1" customHeight="1" x14ac:dyDescent="0.25"/>
    <row r="178" customFormat="1" ht="24.75" hidden="1" customHeight="1" x14ac:dyDescent="0.25"/>
    <row r="179" customFormat="1" ht="24.75" hidden="1" customHeight="1" x14ac:dyDescent="0.25"/>
    <row r="180" customFormat="1" ht="24.75" hidden="1" customHeight="1" x14ac:dyDescent="0.25"/>
    <row r="181" customFormat="1" ht="24.75" hidden="1" customHeight="1" x14ac:dyDescent="0.25"/>
    <row r="182" customFormat="1" ht="24.75" hidden="1" customHeight="1" x14ac:dyDescent="0.25"/>
    <row r="183" customFormat="1" ht="24.75" hidden="1" customHeight="1" x14ac:dyDescent="0.25"/>
    <row r="184" customFormat="1" ht="24.75" hidden="1" customHeight="1" x14ac:dyDescent="0.25"/>
    <row r="185" customFormat="1" ht="24.75" hidden="1" customHeight="1" x14ac:dyDescent="0.25"/>
    <row r="186" customFormat="1" ht="24.75" hidden="1" customHeight="1" x14ac:dyDescent="0.25"/>
    <row r="187" customFormat="1" ht="24.75" hidden="1" customHeight="1" x14ac:dyDescent="0.25"/>
    <row r="188" customFormat="1" ht="24.75" hidden="1" customHeight="1" x14ac:dyDescent="0.25"/>
    <row r="189" customFormat="1" ht="24.75" hidden="1" customHeight="1" x14ac:dyDescent="0.25"/>
    <row r="190" customFormat="1" ht="24.75" hidden="1" customHeight="1" x14ac:dyDescent="0.25"/>
    <row r="191" customFormat="1" ht="24.75" hidden="1" customHeight="1" x14ac:dyDescent="0.25"/>
    <row r="192" customFormat="1" ht="24.75" hidden="1" customHeight="1" x14ac:dyDescent="0.25"/>
    <row r="193" customFormat="1" ht="24.75" hidden="1" customHeight="1" x14ac:dyDescent="0.25"/>
    <row r="194" customFormat="1" ht="24.75" hidden="1" customHeight="1" x14ac:dyDescent="0.25"/>
    <row r="195" customFormat="1" ht="24.75" hidden="1" customHeight="1" x14ac:dyDescent="0.25"/>
    <row r="196" customFormat="1" ht="24.75" hidden="1" customHeight="1" x14ac:dyDescent="0.25"/>
    <row r="197" customFormat="1" ht="24.75" hidden="1" customHeight="1" x14ac:dyDescent="0.25"/>
    <row r="198" customFormat="1" ht="24.75" hidden="1" customHeight="1" x14ac:dyDescent="0.25"/>
    <row r="199" customFormat="1" ht="24.75" hidden="1" customHeight="1" x14ac:dyDescent="0.25"/>
    <row r="200" customFormat="1" ht="24.75" hidden="1" customHeight="1" x14ac:dyDescent="0.25"/>
    <row r="201" customFormat="1" ht="24.75" hidden="1" customHeight="1" x14ac:dyDescent="0.25"/>
    <row r="202" customFormat="1" ht="24.75" hidden="1" customHeight="1" x14ac:dyDescent="0.25"/>
    <row r="203" customFormat="1" ht="24.75" hidden="1" customHeight="1" x14ac:dyDescent="0.25"/>
    <row r="204" customFormat="1" ht="24.75" hidden="1" customHeight="1" x14ac:dyDescent="0.25"/>
    <row r="205" customFormat="1" ht="24.75" hidden="1" customHeight="1" x14ac:dyDescent="0.25"/>
    <row r="206" customFormat="1" ht="24.75" hidden="1" customHeight="1" x14ac:dyDescent="0.25"/>
    <row r="207" customFormat="1" ht="24.75" hidden="1" customHeight="1" x14ac:dyDescent="0.25"/>
    <row r="208" customFormat="1" ht="24.75" hidden="1" customHeight="1" x14ac:dyDescent="0.25"/>
    <row r="209" customFormat="1" ht="24.75" hidden="1" customHeight="1" x14ac:dyDescent="0.25"/>
    <row r="210" customFormat="1" ht="24.75" hidden="1" customHeight="1" x14ac:dyDescent="0.25"/>
    <row r="211" customFormat="1" ht="24.75" hidden="1" customHeight="1" x14ac:dyDescent="0.25"/>
    <row r="212" customFormat="1" ht="24.75" hidden="1" customHeight="1" x14ac:dyDescent="0.25"/>
    <row r="213" customFormat="1" ht="24.75" hidden="1" customHeight="1" x14ac:dyDescent="0.25"/>
    <row r="214" customFormat="1" ht="24.75" hidden="1" customHeight="1" x14ac:dyDescent="0.25"/>
    <row r="215" customFormat="1" ht="24.75" hidden="1" customHeight="1" x14ac:dyDescent="0.25"/>
    <row r="216" customFormat="1" ht="24.75" hidden="1" customHeight="1" x14ac:dyDescent="0.25"/>
    <row r="217" customFormat="1" ht="24.75" hidden="1" customHeight="1" x14ac:dyDescent="0.25"/>
    <row r="218" customFormat="1" ht="24.75" hidden="1" customHeight="1" x14ac:dyDescent="0.25"/>
    <row r="219" customFormat="1" ht="24.75" hidden="1" customHeight="1" x14ac:dyDescent="0.25"/>
    <row r="220" customFormat="1" ht="24.75" hidden="1" customHeight="1" x14ac:dyDescent="0.25"/>
    <row r="221" customFormat="1" ht="24.75" hidden="1" customHeight="1" x14ac:dyDescent="0.25"/>
    <row r="222" customFormat="1" ht="24.75" hidden="1" customHeight="1" x14ac:dyDescent="0.25"/>
    <row r="223" customFormat="1" ht="24.75" hidden="1" customHeight="1" x14ac:dyDescent="0.25"/>
    <row r="224" customFormat="1" ht="24.75" hidden="1" customHeight="1" x14ac:dyDescent="0.25"/>
    <row r="225" customFormat="1" ht="24.75" hidden="1" customHeight="1" x14ac:dyDescent="0.25"/>
    <row r="226" customFormat="1" ht="24.75" hidden="1" customHeight="1" x14ac:dyDescent="0.25"/>
    <row r="227" customFormat="1" ht="24.75" hidden="1" customHeight="1" x14ac:dyDescent="0.25"/>
    <row r="228" customFormat="1" ht="24.75" hidden="1" customHeight="1" x14ac:dyDescent="0.25"/>
    <row r="229" customFormat="1" ht="24.75" hidden="1" customHeight="1" x14ac:dyDescent="0.25"/>
    <row r="230" customFormat="1" ht="24.75" hidden="1" customHeight="1" x14ac:dyDescent="0.25"/>
    <row r="231" customFormat="1" ht="24.75" hidden="1" customHeight="1" x14ac:dyDescent="0.25"/>
    <row r="232" customFormat="1" ht="24.75" hidden="1" customHeight="1" x14ac:dyDescent="0.25"/>
    <row r="233" customFormat="1" ht="24.75" hidden="1" customHeight="1" x14ac:dyDescent="0.25"/>
    <row r="234" customFormat="1" ht="24.75" hidden="1" customHeight="1" x14ac:dyDescent="0.25"/>
    <row r="235" customFormat="1" ht="24.75" hidden="1" customHeight="1" x14ac:dyDescent="0.25"/>
    <row r="236" customFormat="1" ht="24.75" hidden="1" customHeight="1" x14ac:dyDescent="0.25"/>
    <row r="237" customFormat="1" ht="24.75" hidden="1" customHeight="1" x14ac:dyDescent="0.25"/>
    <row r="238" customFormat="1" ht="24.75" hidden="1" customHeight="1" x14ac:dyDescent="0.25"/>
    <row r="239" customFormat="1" ht="24.75" hidden="1" customHeight="1" x14ac:dyDescent="0.25"/>
    <row r="240" customFormat="1" ht="24.75" hidden="1" customHeight="1" x14ac:dyDescent="0.25"/>
    <row r="241" customFormat="1" ht="24.75" hidden="1" customHeight="1" x14ac:dyDescent="0.25"/>
    <row r="242" customFormat="1" ht="24.75" hidden="1" customHeight="1" x14ac:dyDescent="0.25"/>
    <row r="243" customFormat="1" ht="24.75" hidden="1" customHeight="1" x14ac:dyDescent="0.25"/>
    <row r="244" customFormat="1" ht="24.75" hidden="1" customHeight="1" x14ac:dyDescent="0.25"/>
    <row r="245" customFormat="1" ht="24.75" hidden="1" customHeight="1" x14ac:dyDescent="0.25"/>
    <row r="246" customFormat="1" ht="24.75" hidden="1" customHeight="1" x14ac:dyDescent="0.25"/>
    <row r="247" customFormat="1" ht="24.75" hidden="1" customHeight="1" x14ac:dyDescent="0.25"/>
    <row r="248" customFormat="1" ht="24.75" hidden="1" customHeight="1" x14ac:dyDescent="0.25"/>
    <row r="249" customFormat="1" ht="24.75" hidden="1" customHeight="1" x14ac:dyDescent="0.25"/>
    <row r="250" customFormat="1" ht="24.75" hidden="1" customHeight="1" x14ac:dyDescent="0.25"/>
    <row r="251" customFormat="1" ht="24.75" hidden="1" customHeight="1" x14ac:dyDescent="0.25"/>
    <row r="252" customFormat="1" ht="24.75" hidden="1" customHeight="1" x14ac:dyDescent="0.25"/>
    <row r="253" customFormat="1" ht="24.75" hidden="1" customHeight="1" x14ac:dyDescent="0.25"/>
    <row r="254" customFormat="1" ht="24.75" hidden="1" customHeight="1" x14ac:dyDescent="0.25"/>
    <row r="255" customFormat="1" ht="24.75" hidden="1" customHeight="1" x14ac:dyDescent="0.25"/>
    <row r="256" customFormat="1" ht="24.75" hidden="1" customHeight="1" x14ac:dyDescent="0.25"/>
    <row r="257" customFormat="1" ht="24.75" hidden="1" customHeight="1" x14ac:dyDescent="0.25"/>
    <row r="258" customFormat="1" ht="24.75" hidden="1" customHeight="1" x14ac:dyDescent="0.25"/>
    <row r="259" customFormat="1" ht="24.75" hidden="1" customHeight="1" x14ac:dyDescent="0.25"/>
    <row r="260" customFormat="1" ht="24.75" hidden="1" customHeight="1" x14ac:dyDescent="0.25"/>
    <row r="261" customFormat="1" ht="24.75" hidden="1" customHeight="1" x14ac:dyDescent="0.25"/>
    <row r="262" customFormat="1" ht="24.75" hidden="1" customHeight="1" x14ac:dyDescent="0.25"/>
    <row r="263" customFormat="1" ht="24.75" hidden="1" customHeight="1" x14ac:dyDescent="0.25"/>
    <row r="264" customFormat="1" ht="24.75" hidden="1" customHeight="1" x14ac:dyDescent="0.25"/>
    <row r="265" customFormat="1" ht="24.75" hidden="1" customHeight="1" x14ac:dyDescent="0.25"/>
    <row r="266" customFormat="1" ht="24.75" hidden="1" customHeight="1" x14ac:dyDescent="0.25"/>
    <row r="267" customFormat="1" ht="24.75" hidden="1" customHeight="1" x14ac:dyDescent="0.25"/>
    <row r="268" customFormat="1" ht="24.75" hidden="1" customHeight="1" x14ac:dyDescent="0.25"/>
    <row r="269" customFormat="1" ht="24.75" hidden="1" customHeight="1" x14ac:dyDescent="0.25"/>
    <row r="270" customFormat="1" ht="24.75" hidden="1" customHeight="1" x14ac:dyDescent="0.25"/>
    <row r="271" customFormat="1" ht="24.75" hidden="1" customHeight="1" x14ac:dyDescent="0.25"/>
    <row r="272" customFormat="1" ht="24.75" hidden="1" customHeight="1" x14ac:dyDescent="0.25"/>
    <row r="273" customFormat="1" ht="24.75" hidden="1" customHeight="1" x14ac:dyDescent="0.25"/>
    <row r="274" customFormat="1" ht="24.75" hidden="1" customHeight="1" x14ac:dyDescent="0.25"/>
    <row r="275" customFormat="1" ht="24.75" hidden="1" customHeight="1" x14ac:dyDescent="0.25"/>
    <row r="276" customFormat="1" ht="24.75" hidden="1" customHeight="1" x14ac:dyDescent="0.25"/>
    <row r="277" customFormat="1" ht="24.75" hidden="1" customHeight="1" x14ac:dyDescent="0.25"/>
    <row r="278" customFormat="1" ht="24.75" hidden="1" customHeight="1" x14ac:dyDescent="0.25"/>
    <row r="279" customFormat="1" ht="24.75" hidden="1" customHeight="1" x14ac:dyDescent="0.25"/>
    <row r="280" customFormat="1" ht="24.75" hidden="1" customHeight="1" x14ac:dyDescent="0.25"/>
    <row r="281" customFormat="1" ht="24.75" hidden="1" customHeight="1" x14ac:dyDescent="0.25"/>
    <row r="282" customFormat="1" ht="24.75" hidden="1" customHeight="1" x14ac:dyDescent="0.25"/>
    <row r="283" customFormat="1" ht="24.75" hidden="1" customHeight="1" x14ac:dyDescent="0.25"/>
    <row r="284" customFormat="1" ht="24.75" hidden="1" customHeight="1" x14ac:dyDescent="0.25"/>
    <row r="285" customFormat="1" ht="24.75" hidden="1" customHeight="1" x14ac:dyDescent="0.25"/>
    <row r="286" customFormat="1" ht="24.75" hidden="1" customHeight="1" x14ac:dyDescent="0.25"/>
    <row r="287" customFormat="1" ht="24.75" hidden="1" customHeight="1" x14ac:dyDescent="0.25"/>
    <row r="288" customFormat="1" ht="24.75" hidden="1" customHeight="1" x14ac:dyDescent="0.25"/>
    <row r="289" customFormat="1" ht="24.75" hidden="1" customHeight="1" x14ac:dyDescent="0.25"/>
    <row r="290" customFormat="1" ht="24.75" hidden="1" customHeight="1" x14ac:dyDescent="0.25"/>
    <row r="291" customFormat="1" ht="24.75" hidden="1" customHeight="1" x14ac:dyDescent="0.25"/>
    <row r="292" customFormat="1" ht="24.75" hidden="1" customHeight="1" x14ac:dyDescent="0.25"/>
    <row r="293" customFormat="1" ht="24.75" hidden="1" customHeight="1" x14ac:dyDescent="0.25"/>
    <row r="294" customFormat="1" ht="24.75" hidden="1" customHeight="1" x14ac:dyDescent="0.25"/>
    <row r="295" customFormat="1" ht="24.75" hidden="1" customHeight="1" x14ac:dyDescent="0.25"/>
    <row r="296" customFormat="1" ht="24.75" hidden="1" customHeight="1" x14ac:dyDescent="0.25"/>
    <row r="297" customFormat="1" ht="24.75" hidden="1" customHeight="1" x14ac:dyDescent="0.25"/>
    <row r="298" customFormat="1" ht="24.75" hidden="1" customHeight="1" x14ac:dyDescent="0.25"/>
    <row r="299" customFormat="1" ht="24.75" hidden="1" customHeight="1" x14ac:dyDescent="0.25"/>
    <row r="300" customFormat="1" ht="24.75" hidden="1" customHeight="1" x14ac:dyDescent="0.25"/>
    <row r="301" customFormat="1" ht="24.75" hidden="1" customHeight="1" x14ac:dyDescent="0.25"/>
    <row r="302" customFormat="1" ht="24.75" hidden="1" customHeight="1" x14ac:dyDescent="0.25"/>
    <row r="303" customFormat="1" ht="24.75" hidden="1" customHeight="1" x14ac:dyDescent="0.25"/>
    <row r="304" customFormat="1" ht="24.75" hidden="1" customHeight="1" x14ac:dyDescent="0.25"/>
    <row r="305" customFormat="1" ht="24.75" hidden="1" customHeight="1" x14ac:dyDescent="0.25"/>
    <row r="306" customFormat="1" ht="24.75" hidden="1" customHeight="1" x14ac:dyDescent="0.25"/>
    <row r="307" customFormat="1" ht="24.75" hidden="1" customHeight="1" x14ac:dyDescent="0.25"/>
    <row r="308" customFormat="1" ht="24.75" hidden="1" customHeight="1" x14ac:dyDescent="0.25"/>
    <row r="309" customFormat="1" ht="24.75" hidden="1" customHeight="1" x14ac:dyDescent="0.25"/>
    <row r="310" customFormat="1" ht="24.75" hidden="1" customHeight="1" x14ac:dyDescent="0.25"/>
    <row r="311" customFormat="1" ht="24.75" hidden="1" customHeight="1" x14ac:dyDescent="0.25"/>
    <row r="312" customFormat="1" ht="24.75" hidden="1" customHeight="1" x14ac:dyDescent="0.25"/>
    <row r="313" customFormat="1" ht="24.75" hidden="1" customHeight="1" x14ac:dyDescent="0.25"/>
    <row r="314" customFormat="1" ht="24.75" hidden="1" customHeight="1" x14ac:dyDescent="0.25"/>
    <row r="315" customFormat="1" ht="24.75" hidden="1" customHeight="1" x14ac:dyDescent="0.25"/>
    <row r="316" customFormat="1" ht="24.75" hidden="1" customHeight="1" x14ac:dyDescent="0.25"/>
    <row r="317" customFormat="1" ht="24.75" hidden="1" customHeight="1" x14ac:dyDescent="0.25"/>
    <row r="318" customFormat="1" ht="24.75" hidden="1" customHeight="1" x14ac:dyDescent="0.25"/>
    <row r="319" customFormat="1" ht="24.75" hidden="1" customHeight="1" x14ac:dyDescent="0.25"/>
    <row r="320" customFormat="1" ht="24.75" hidden="1" customHeight="1" x14ac:dyDescent="0.25"/>
    <row r="321" customFormat="1" ht="24.75" hidden="1" customHeight="1" x14ac:dyDescent="0.25"/>
    <row r="322" customFormat="1" ht="24.75" hidden="1" customHeight="1" x14ac:dyDescent="0.25"/>
    <row r="323" customFormat="1" ht="24.75" hidden="1" customHeight="1" x14ac:dyDescent="0.25"/>
    <row r="324" customFormat="1" ht="24.75" hidden="1" customHeight="1" x14ac:dyDescent="0.25"/>
    <row r="325" customFormat="1" ht="24.75" hidden="1" customHeight="1" x14ac:dyDescent="0.25"/>
    <row r="326" customFormat="1" ht="24.75" hidden="1" customHeight="1" x14ac:dyDescent="0.25"/>
    <row r="327" customFormat="1" ht="24.75" hidden="1" customHeight="1" x14ac:dyDescent="0.25"/>
    <row r="328" customFormat="1" ht="24.75" hidden="1" customHeight="1" x14ac:dyDescent="0.25"/>
    <row r="329" customFormat="1" ht="24.75" hidden="1" customHeight="1" x14ac:dyDescent="0.25"/>
    <row r="330" customFormat="1" ht="24.75" hidden="1" customHeight="1" x14ac:dyDescent="0.25"/>
    <row r="331" customFormat="1" ht="24.75" hidden="1" customHeight="1" x14ac:dyDescent="0.25"/>
    <row r="332" customFormat="1" ht="24.75" hidden="1" customHeight="1" x14ac:dyDescent="0.25"/>
    <row r="333" customFormat="1" ht="24.75" hidden="1" customHeight="1" x14ac:dyDescent="0.25"/>
    <row r="334" customFormat="1" ht="24.75" hidden="1" customHeight="1" x14ac:dyDescent="0.25"/>
    <row r="335" customFormat="1" ht="24.75" hidden="1" customHeight="1" x14ac:dyDescent="0.25"/>
    <row r="336" customFormat="1" ht="24.75" hidden="1" customHeight="1" x14ac:dyDescent="0.25"/>
    <row r="337" customFormat="1" ht="24.75" hidden="1" customHeight="1" x14ac:dyDescent="0.25"/>
    <row r="338" customFormat="1" ht="24.75" hidden="1" customHeight="1" x14ac:dyDescent="0.25"/>
    <row r="339" customFormat="1" ht="24.75" hidden="1" customHeight="1" x14ac:dyDescent="0.25"/>
    <row r="340" customFormat="1" ht="24.75" hidden="1" customHeight="1" x14ac:dyDescent="0.25"/>
    <row r="341" customFormat="1" ht="24.75" hidden="1" customHeight="1" x14ac:dyDescent="0.25"/>
    <row r="342" customFormat="1" ht="24.75" hidden="1" customHeight="1" x14ac:dyDescent="0.25"/>
    <row r="343" customFormat="1" ht="24.75" hidden="1" customHeight="1" x14ac:dyDescent="0.25"/>
    <row r="344" customFormat="1" ht="24.75" hidden="1" customHeight="1" x14ac:dyDescent="0.25"/>
    <row r="345" customFormat="1" ht="24.75" hidden="1" customHeight="1" x14ac:dyDescent="0.25"/>
    <row r="346" customFormat="1" ht="24.75" hidden="1" customHeight="1" x14ac:dyDescent="0.25"/>
    <row r="347" customFormat="1" ht="24.75" hidden="1" customHeight="1" x14ac:dyDescent="0.25"/>
    <row r="348" customFormat="1" ht="24.75" hidden="1" customHeight="1" x14ac:dyDescent="0.25"/>
    <row r="349" customFormat="1" ht="24.75" hidden="1" customHeight="1" x14ac:dyDescent="0.25"/>
    <row r="350" customFormat="1" ht="24.75" hidden="1" customHeight="1" x14ac:dyDescent="0.25"/>
    <row r="351" customFormat="1" ht="24.75" hidden="1" customHeight="1" x14ac:dyDescent="0.25"/>
    <row r="352" customFormat="1" ht="24.75" hidden="1" customHeight="1" x14ac:dyDescent="0.25"/>
    <row r="353" customFormat="1" ht="24.75" hidden="1" customHeight="1" x14ac:dyDescent="0.25"/>
    <row r="354" customFormat="1" ht="24.75" hidden="1" customHeight="1" x14ac:dyDescent="0.25"/>
    <row r="355" customFormat="1" ht="24.75" hidden="1" customHeight="1" x14ac:dyDescent="0.25"/>
    <row r="356" customFormat="1" ht="24.75" hidden="1" customHeight="1" x14ac:dyDescent="0.25"/>
    <row r="357" customFormat="1" ht="24.75" hidden="1" customHeight="1" x14ac:dyDescent="0.25"/>
    <row r="358" customFormat="1" ht="24.75" hidden="1" customHeight="1" x14ac:dyDescent="0.25"/>
    <row r="359" customFormat="1" ht="24.75" hidden="1" customHeight="1" x14ac:dyDescent="0.25"/>
    <row r="360" customFormat="1" ht="24.75" hidden="1" customHeight="1" x14ac:dyDescent="0.25"/>
    <row r="361" customFormat="1" ht="24.75" hidden="1" customHeight="1" x14ac:dyDescent="0.25"/>
    <row r="362" customFormat="1" ht="24.75" hidden="1" customHeight="1" x14ac:dyDescent="0.25"/>
    <row r="363" customFormat="1" ht="24.75" hidden="1" customHeight="1" x14ac:dyDescent="0.25"/>
    <row r="364" customFormat="1" ht="24.75" hidden="1" customHeight="1" x14ac:dyDescent="0.25"/>
    <row r="365" customFormat="1" ht="24.75" hidden="1" customHeight="1" x14ac:dyDescent="0.25"/>
    <row r="366" customFormat="1" ht="24.75" hidden="1" customHeight="1" x14ac:dyDescent="0.25"/>
    <row r="367" customFormat="1" ht="24.75" hidden="1" customHeight="1" x14ac:dyDescent="0.25"/>
    <row r="368" customFormat="1" ht="24.75" hidden="1" customHeight="1" x14ac:dyDescent="0.25"/>
    <row r="369" customFormat="1" ht="24.75" hidden="1" customHeight="1" x14ac:dyDescent="0.25"/>
    <row r="370" customFormat="1" ht="24.75" hidden="1" customHeight="1" x14ac:dyDescent="0.25"/>
    <row r="371" customFormat="1" ht="24.75" hidden="1" customHeight="1" x14ac:dyDescent="0.25"/>
    <row r="372" customFormat="1" ht="24.75" hidden="1" customHeight="1" x14ac:dyDescent="0.25"/>
    <row r="373" customFormat="1" ht="24.75" hidden="1" customHeight="1" x14ac:dyDescent="0.25"/>
    <row r="374" customFormat="1" ht="24.75" hidden="1" customHeight="1" x14ac:dyDescent="0.25"/>
    <row r="375" customFormat="1" ht="24.75" hidden="1" customHeight="1" x14ac:dyDescent="0.25"/>
    <row r="376" customFormat="1" ht="24.75" hidden="1" customHeight="1" x14ac:dyDescent="0.25"/>
    <row r="377" customFormat="1" ht="24.75" hidden="1" customHeight="1" x14ac:dyDescent="0.25"/>
    <row r="378" customFormat="1" ht="24.75" hidden="1" customHeight="1" x14ac:dyDescent="0.25"/>
    <row r="379" customFormat="1" ht="24.75" hidden="1" customHeight="1" x14ac:dyDescent="0.25"/>
    <row r="380" customFormat="1" ht="24.75" hidden="1" customHeight="1" x14ac:dyDescent="0.25"/>
    <row r="381" customFormat="1" ht="24.75" hidden="1" customHeight="1" x14ac:dyDescent="0.25"/>
    <row r="382" customFormat="1" ht="24.75" hidden="1" customHeight="1" x14ac:dyDescent="0.25"/>
    <row r="383" customFormat="1" ht="24.75" hidden="1" customHeight="1" x14ac:dyDescent="0.25"/>
    <row r="384" customFormat="1" ht="24.75" hidden="1" customHeight="1" x14ac:dyDescent="0.25"/>
    <row r="385" customFormat="1" ht="24.75" hidden="1" customHeight="1" x14ac:dyDescent="0.25"/>
    <row r="386" customFormat="1" ht="24.75" hidden="1" customHeight="1" x14ac:dyDescent="0.25"/>
    <row r="387" customFormat="1" ht="24.75" hidden="1" customHeight="1" x14ac:dyDescent="0.25"/>
    <row r="388" customFormat="1" ht="24.75" hidden="1" customHeight="1" x14ac:dyDescent="0.25"/>
    <row r="389" customFormat="1" ht="24.75" hidden="1" customHeight="1" x14ac:dyDescent="0.25"/>
    <row r="390" customFormat="1" ht="24.75" hidden="1" customHeight="1" x14ac:dyDescent="0.25"/>
    <row r="391" customFormat="1" ht="24.75" hidden="1" customHeight="1" x14ac:dyDescent="0.25"/>
    <row r="392" customFormat="1" ht="24.75" hidden="1" customHeight="1" x14ac:dyDescent="0.25"/>
    <row r="393" customFormat="1" ht="24.75" hidden="1" customHeight="1" x14ac:dyDescent="0.25"/>
    <row r="394" customFormat="1" ht="24.75" hidden="1" customHeight="1" x14ac:dyDescent="0.25"/>
    <row r="395" customFormat="1" ht="24.75" hidden="1" customHeight="1" x14ac:dyDescent="0.25"/>
    <row r="396" customFormat="1" ht="24.75" hidden="1" customHeight="1" x14ac:dyDescent="0.25"/>
    <row r="397" customFormat="1" ht="24.75" hidden="1" customHeight="1" x14ac:dyDescent="0.25"/>
    <row r="398" customFormat="1" ht="24.75" hidden="1" customHeight="1" x14ac:dyDescent="0.25"/>
  </sheetData>
  <sheetProtection selectLockedCells="1"/>
  <mergeCells count="11">
    <mergeCell ref="B5:F7"/>
    <mergeCell ref="B19:C19"/>
    <mergeCell ref="B20:M25"/>
    <mergeCell ref="B10:B11"/>
    <mergeCell ref="C8:F8"/>
    <mergeCell ref="C9:F9"/>
    <mergeCell ref="C10:C13"/>
    <mergeCell ref="D10:D13"/>
    <mergeCell ref="F10:F13"/>
    <mergeCell ref="G11:G13"/>
    <mergeCell ref="E10:E13"/>
  </mergeCells>
  <dataValidations count="5">
    <dataValidation type="whole" allowBlank="1" showInputMessage="1" showErrorMessage="1" errorTitle="Atenção !" error="Valores entre 0 e 1900" promptTitle="ATENÇÃO!" prompt="VALORES ENTRE 0 E 1900" sqref="C14" xr:uid="{B93F8092-1556-49A4-894E-2B4B9C79A2FE}">
      <formula1>0</formula1>
      <formula2>1990</formula2>
    </dataValidation>
    <dataValidation type="decimal" allowBlank="1" showInputMessage="1" showErrorMessage="1" errorTitle="Atenção !" error="Valores entre 0 e 1900" promptTitle="ATENÇÃO !" prompt="VALORES ENTRE 0 E 1990" sqref="C15" xr:uid="{0E25B430-5E42-43B1-9354-00545160EE97}">
      <formula1>0</formula1>
      <formula2>1990</formula2>
    </dataValidation>
    <dataValidation type="whole" allowBlank="1" showInputMessage="1" showErrorMessage="1" errorTitle="Atenção !" error="Valores entre 0 e 1200" promptTitle="ATENÇÃO VALORES ENTRE 0 E 1200" sqref="C16" xr:uid="{A156F829-0355-4FD7-9B1B-349635CCAC68}">
      <formula1>0</formula1>
      <formula2>1200</formula2>
    </dataValidation>
    <dataValidation type="whole" allowBlank="1" showInputMessage="1" showErrorMessage="1" errorTitle="Atenção!" error="Valores entre 0 e 1200" promptTitle="ATENÇÃO !" prompt="VALORES ENTRE 0 E 1200" sqref="C17" xr:uid="{A6B21862-40B0-45A5-A5C3-0684BAD33016}">
      <formula1>0</formula1>
      <formula2>1200</formula2>
    </dataValidation>
    <dataValidation type="whole" allowBlank="1" showInputMessage="1" showErrorMessage="1" errorTitle="Atenção !" error="Valores entre 0 e 1150" promptTitle="ATENÇÃO !" prompt="VALORES ENTRE 0 E 1150" sqref="C18" xr:uid="{E8703458-8E23-421C-960F-7E9C9D3ECAE5}">
      <formula1>0</formula1>
      <formula2>1150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9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15B2D-6DC1-47DE-8FE1-0E67B6D85952}">
          <x14:formula1>
            <xm:f>CTL!$B$134:$L$134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60F3-0346-429A-9EBB-40C1BDD5822D}">
  <sheetPr codeName="Planilha2"/>
  <dimension ref="A1:L134"/>
  <sheetViews>
    <sheetView topLeftCell="A113" zoomScale="93" zoomScaleNormal="93" workbookViewId="0">
      <selection sqref="A1:L134"/>
    </sheetView>
  </sheetViews>
  <sheetFormatPr defaultRowHeight="15" x14ac:dyDescent="0.25"/>
  <sheetData>
    <row r="1" spans="1:12" x14ac:dyDescent="0.25">
      <c r="A1" s="30" t="s">
        <v>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x14ac:dyDescent="0.25">
      <c r="A2" s="6" t="s">
        <v>10</v>
      </c>
      <c r="B2" s="2">
        <v>-50</v>
      </c>
      <c r="C2" s="2">
        <v>-40</v>
      </c>
      <c r="D2" s="2">
        <v>-30</v>
      </c>
      <c r="E2" s="2">
        <v>-20</v>
      </c>
      <c r="F2" s="2">
        <v>-10</v>
      </c>
      <c r="G2" s="2">
        <v>0</v>
      </c>
      <c r="H2" s="2">
        <v>10</v>
      </c>
      <c r="I2" s="2">
        <v>20</v>
      </c>
      <c r="J2" s="2">
        <v>30</v>
      </c>
      <c r="K2" s="2">
        <v>40</v>
      </c>
      <c r="L2" s="2">
        <v>50</v>
      </c>
    </row>
    <row r="3" spans="1:12" x14ac:dyDescent="0.25">
      <c r="A3" s="5">
        <v>0</v>
      </c>
      <c r="B3" s="4">
        <v>5112</v>
      </c>
      <c r="C3" s="4">
        <v>4618</v>
      </c>
      <c r="D3" s="4">
        <v>4125</v>
      </c>
      <c r="E3" s="4">
        <v>3632</v>
      </c>
      <c r="F3" s="4">
        <v>3147</v>
      </c>
      <c r="G3" s="4">
        <v>2678</v>
      </c>
      <c r="H3" s="4">
        <v>2243</v>
      </c>
      <c r="I3" s="4">
        <v>1852</v>
      </c>
      <c r="J3" s="4">
        <v>1506</v>
      </c>
      <c r="K3" s="4">
        <v>1206</v>
      </c>
      <c r="L3" s="4">
        <v>954</v>
      </c>
    </row>
    <row r="4" spans="1:12" x14ac:dyDescent="0.25">
      <c r="A4" s="5">
        <v>10</v>
      </c>
      <c r="B4" s="2">
        <f t="shared" ref="B4:B12" si="0">((B$13-B$3)/10)+B3</f>
        <v>5379.1</v>
      </c>
      <c r="C4" s="2">
        <f t="shared" ref="C4:C12" si="1">((C$13-C$3)/10)+C3</f>
        <v>4885</v>
      </c>
      <c r="D4" s="2">
        <f t="shared" ref="D4:D12" si="2">((D$13-D$3)/10)+D3</f>
        <v>4391.7</v>
      </c>
      <c r="E4" s="2">
        <f t="shared" ref="E4:E12" si="3">((E$13-E$3)/10)+E3</f>
        <v>3898.5</v>
      </c>
      <c r="F4" s="2">
        <f t="shared" ref="F4:F12" si="4">((F$13-F$3)/10)+F3</f>
        <v>3412.5</v>
      </c>
      <c r="G4" s="2">
        <f t="shared" ref="G4:G12" si="5">((G$13-G$3)/10)+G3</f>
        <v>2940.9</v>
      </c>
      <c r="H4" s="2">
        <f t="shared" ref="H4:H12" si="6">((H$13-H$3)/10)+H3</f>
        <v>2500.1</v>
      </c>
      <c r="I4" s="2">
        <f t="shared" ref="I4:I12" si="7">((I$13-I$3)/10)+I3</f>
        <v>2099.5</v>
      </c>
      <c r="J4" s="2">
        <f t="shared" ref="J4:J12" si="8">((J$13-J$3)/10)+J3</f>
        <v>1740.8</v>
      </c>
      <c r="K4" s="2">
        <f t="shared" ref="K4:K12" si="9">((K$13-K$3)/10)+K3</f>
        <v>1425.8</v>
      </c>
      <c r="L4" s="2">
        <f t="shared" ref="L4:L12" si="10">((L$13-L$3)/10)+L3</f>
        <v>1157.0999999999999</v>
      </c>
    </row>
    <row r="5" spans="1:12" x14ac:dyDescent="0.25">
      <c r="A5" s="5">
        <v>20</v>
      </c>
      <c r="B5" s="2">
        <f t="shared" si="0"/>
        <v>5646.2000000000007</v>
      </c>
      <c r="C5" s="2">
        <f t="shared" si="1"/>
        <v>5152</v>
      </c>
      <c r="D5" s="2">
        <f t="shared" si="2"/>
        <v>4658.3999999999996</v>
      </c>
      <c r="E5" s="2">
        <f t="shared" si="3"/>
        <v>4165</v>
      </c>
      <c r="F5" s="2">
        <f t="shared" si="4"/>
        <v>3678</v>
      </c>
      <c r="G5" s="2">
        <f t="shared" si="5"/>
        <v>3203.8</v>
      </c>
      <c r="H5" s="2">
        <f t="shared" si="6"/>
        <v>2757.2</v>
      </c>
      <c r="I5" s="2">
        <f t="shared" si="7"/>
        <v>2347</v>
      </c>
      <c r="J5" s="2">
        <f t="shared" si="8"/>
        <v>1975.6</v>
      </c>
      <c r="K5" s="2">
        <f t="shared" si="9"/>
        <v>1645.6</v>
      </c>
      <c r="L5" s="2">
        <f t="shared" si="10"/>
        <v>1360.1999999999998</v>
      </c>
    </row>
    <row r="6" spans="1:12" x14ac:dyDescent="0.25">
      <c r="A6" s="5">
        <v>30</v>
      </c>
      <c r="B6" s="2">
        <f t="shared" si="0"/>
        <v>5913.3000000000011</v>
      </c>
      <c r="C6" s="2">
        <f t="shared" si="1"/>
        <v>5419</v>
      </c>
      <c r="D6" s="2">
        <f t="shared" si="2"/>
        <v>4925.0999999999995</v>
      </c>
      <c r="E6" s="2">
        <f t="shared" si="3"/>
        <v>4431.5</v>
      </c>
      <c r="F6" s="2">
        <f t="shared" si="4"/>
        <v>3943.5</v>
      </c>
      <c r="G6" s="2">
        <f t="shared" si="5"/>
        <v>3466.7000000000003</v>
      </c>
      <c r="H6" s="2">
        <f t="shared" si="6"/>
        <v>3014.2999999999997</v>
      </c>
      <c r="I6" s="2">
        <f t="shared" si="7"/>
        <v>2594.5</v>
      </c>
      <c r="J6" s="2">
        <f t="shared" si="8"/>
        <v>2210.4</v>
      </c>
      <c r="K6" s="2">
        <f t="shared" si="9"/>
        <v>1865.3999999999999</v>
      </c>
      <c r="L6" s="2">
        <f t="shared" si="10"/>
        <v>1563.2999999999997</v>
      </c>
    </row>
    <row r="7" spans="1:12" x14ac:dyDescent="0.25">
      <c r="A7" s="5">
        <v>40</v>
      </c>
      <c r="B7" s="2">
        <f t="shared" si="0"/>
        <v>6180.4000000000015</v>
      </c>
      <c r="C7" s="2">
        <f t="shared" si="1"/>
        <v>5686</v>
      </c>
      <c r="D7" s="2">
        <f t="shared" si="2"/>
        <v>5191.7999999999993</v>
      </c>
      <c r="E7" s="2">
        <f t="shared" si="3"/>
        <v>4698</v>
      </c>
      <c r="F7" s="2">
        <f t="shared" si="4"/>
        <v>4209</v>
      </c>
      <c r="G7" s="2">
        <f t="shared" si="5"/>
        <v>3729.6000000000004</v>
      </c>
      <c r="H7" s="2">
        <f t="shared" si="6"/>
        <v>3271.3999999999996</v>
      </c>
      <c r="I7" s="2">
        <f t="shared" si="7"/>
        <v>2842</v>
      </c>
      <c r="J7" s="2">
        <f t="shared" si="8"/>
        <v>2445.2000000000003</v>
      </c>
      <c r="K7" s="2">
        <f t="shared" si="9"/>
        <v>2085.1999999999998</v>
      </c>
      <c r="L7" s="2">
        <f t="shared" si="10"/>
        <v>1766.3999999999996</v>
      </c>
    </row>
    <row r="8" spans="1:12" x14ac:dyDescent="0.25">
      <c r="A8" s="5">
        <v>50</v>
      </c>
      <c r="B8" s="2">
        <f t="shared" si="0"/>
        <v>6447.5000000000018</v>
      </c>
      <c r="C8" s="2">
        <f t="shared" si="1"/>
        <v>5953</v>
      </c>
      <c r="D8" s="2">
        <f t="shared" si="2"/>
        <v>5458.4999999999991</v>
      </c>
      <c r="E8" s="2">
        <f t="shared" si="3"/>
        <v>4964.5</v>
      </c>
      <c r="F8" s="2">
        <f t="shared" si="4"/>
        <v>4474.5</v>
      </c>
      <c r="G8" s="2">
        <f t="shared" si="5"/>
        <v>3992.5000000000005</v>
      </c>
      <c r="H8" s="2">
        <f t="shared" si="6"/>
        <v>3528.4999999999995</v>
      </c>
      <c r="I8" s="2">
        <f t="shared" si="7"/>
        <v>3089.5</v>
      </c>
      <c r="J8" s="2">
        <f t="shared" si="8"/>
        <v>2680.0000000000005</v>
      </c>
      <c r="K8" s="2">
        <f t="shared" si="9"/>
        <v>2305</v>
      </c>
      <c r="L8" s="2">
        <f t="shared" si="10"/>
        <v>1969.4999999999995</v>
      </c>
    </row>
    <row r="9" spans="1:12" x14ac:dyDescent="0.25">
      <c r="A9" s="5">
        <v>60</v>
      </c>
      <c r="B9" s="2">
        <f t="shared" si="0"/>
        <v>6714.6000000000022</v>
      </c>
      <c r="C9" s="2">
        <f t="shared" si="1"/>
        <v>6220</v>
      </c>
      <c r="D9" s="2">
        <f t="shared" si="2"/>
        <v>5725.1999999999989</v>
      </c>
      <c r="E9" s="2">
        <f t="shared" si="3"/>
        <v>5231</v>
      </c>
      <c r="F9" s="2">
        <f t="shared" si="4"/>
        <v>4740</v>
      </c>
      <c r="G9" s="2">
        <f t="shared" si="5"/>
        <v>4255.4000000000005</v>
      </c>
      <c r="H9" s="2">
        <f t="shared" si="6"/>
        <v>3785.5999999999995</v>
      </c>
      <c r="I9" s="2">
        <f t="shared" si="7"/>
        <v>3337</v>
      </c>
      <c r="J9" s="2">
        <f t="shared" si="8"/>
        <v>2914.8000000000006</v>
      </c>
      <c r="K9" s="2">
        <f t="shared" si="9"/>
        <v>2524.8000000000002</v>
      </c>
      <c r="L9" s="2">
        <f t="shared" si="10"/>
        <v>2172.5999999999995</v>
      </c>
    </row>
    <row r="10" spans="1:12" x14ac:dyDescent="0.25">
      <c r="A10" s="5">
        <v>70</v>
      </c>
      <c r="B10" s="2">
        <f t="shared" si="0"/>
        <v>6981.7000000000025</v>
      </c>
      <c r="C10" s="2">
        <f t="shared" si="1"/>
        <v>6487</v>
      </c>
      <c r="D10" s="2">
        <f t="shared" si="2"/>
        <v>5991.8999999999987</v>
      </c>
      <c r="E10" s="2">
        <f t="shared" si="3"/>
        <v>5497.5</v>
      </c>
      <c r="F10" s="2">
        <f t="shared" si="4"/>
        <v>5005.5</v>
      </c>
      <c r="G10" s="2">
        <f t="shared" si="5"/>
        <v>4518.3</v>
      </c>
      <c r="H10" s="2">
        <f t="shared" si="6"/>
        <v>4042.6999999999994</v>
      </c>
      <c r="I10" s="2">
        <f t="shared" si="7"/>
        <v>3584.5</v>
      </c>
      <c r="J10" s="2">
        <f t="shared" si="8"/>
        <v>3149.6000000000008</v>
      </c>
      <c r="K10" s="2">
        <f t="shared" si="9"/>
        <v>2744.6000000000004</v>
      </c>
      <c r="L10" s="2">
        <f t="shared" si="10"/>
        <v>2375.6999999999994</v>
      </c>
    </row>
    <row r="11" spans="1:12" x14ac:dyDescent="0.25">
      <c r="A11" s="5">
        <v>80</v>
      </c>
      <c r="B11" s="2">
        <f t="shared" si="0"/>
        <v>7248.8000000000029</v>
      </c>
      <c r="C11" s="2">
        <f t="shared" si="1"/>
        <v>6754</v>
      </c>
      <c r="D11" s="2">
        <f t="shared" si="2"/>
        <v>6258.5999999999985</v>
      </c>
      <c r="E11" s="2">
        <f t="shared" si="3"/>
        <v>5764</v>
      </c>
      <c r="F11" s="2">
        <f t="shared" si="4"/>
        <v>5271</v>
      </c>
      <c r="G11" s="2">
        <f t="shared" si="5"/>
        <v>4781.2</v>
      </c>
      <c r="H11" s="2">
        <f t="shared" si="6"/>
        <v>4299.7999999999993</v>
      </c>
      <c r="I11" s="2">
        <f t="shared" si="7"/>
        <v>3832</v>
      </c>
      <c r="J11" s="2">
        <f t="shared" si="8"/>
        <v>3384.400000000001</v>
      </c>
      <c r="K11" s="2">
        <f t="shared" si="9"/>
        <v>2964.4000000000005</v>
      </c>
      <c r="L11" s="2">
        <f t="shared" si="10"/>
        <v>2578.7999999999993</v>
      </c>
    </row>
    <row r="12" spans="1:12" x14ac:dyDescent="0.25">
      <c r="A12" s="5">
        <v>90</v>
      </c>
      <c r="B12" s="2">
        <f t="shared" si="0"/>
        <v>7515.9000000000033</v>
      </c>
      <c r="C12" s="2">
        <f t="shared" si="1"/>
        <v>7021</v>
      </c>
      <c r="D12" s="2">
        <f t="shared" si="2"/>
        <v>6525.2999999999984</v>
      </c>
      <c r="E12" s="2">
        <f t="shared" si="3"/>
        <v>6030.5</v>
      </c>
      <c r="F12" s="2">
        <f t="shared" si="4"/>
        <v>5536.5</v>
      </c>
      <c r="G12" s="2">
        <f t="shared" si="5"/>
        <v>5044.0999999999995</v>
      </c>
      <c r="H12" s="2">
        <f t="shared" si="6"/>
        <v>4556.8999999999996</v>
      </c>
      <c r="I12" s="2">
        <f t="shared" si="7"/>
        <v>4079.5</v>
      </c>
      <c r="J12" s="2">
        <f t="shared" si="8"/>
        <v>3619.2000000000012</v>
      </c>
      <c r="K12" s="2">
        <f t="shared" si="9"/>
        <v>3184.2000000000007</v>
      </c>
      <c r="L12" s="2">
        <f t="shared" si="10"/>
        <v>2781.8999999999992</v>
      </c>
    </row>
    <row r="13" spans="1:12" x14ac:dyDescent="0.25">
      <c r="A13" s="5">
        <v>100</v>
      </c>
      <c r="B13" s="4">
        <v>7783</v>
      </c>
      <c r="C13" s="4">
        <v>7288</v>
      </c>
      <c r="D13" s="4">
        <v>6792</v>
      </c>
      <c r="E13" s="4">
        <v>6297</v>
      </c>
      <c r="F13" s="4">
        <v>5802</v>
      </c>
      <c r="G13" s="4">
        <v>5307</v>
      </c>
      <c r="H13" s="4">
        <v>4814</v>
      </c>
      <c r="I13" s="4">
        <v>4327</v>
      </c>
      <c r="J13" s="4">
        <v>3854</v>
      </c>
      <c r="K13" s="4">
        <v>3404</v>
      </c>
      <c r="L13" s="4">
        <v>2985</v>
      </c>
    </row>
    <row r="14" spans="1:12" x14ac:dyDescent="0.25">
      <c r="A14" s="5">
        <v>110</v>
      </c>
      <c r="B14" s="2">
        <f t="shared" ref="B14:B22" si="11">((B$23-B$13)/10)+B13</f>
        <v>8056.3</v>
      </c>
      <c r="C14" s="2">
        <f t="shared" ref="C14:C22" si="12">((C$23-C$13)/10)+C13</f>
        <v>7561.3</v>
      </c>
      <c r="D14" s="2">
        <f t="shared" ref="D14:D22" si="13">((D$23-D$13)/10)+D13</f>
        <v>7065.4</v>
      </c>
      <c r="E14" s="2">
        <f t="shared" ref="E14:E22" si="14">((E$23-E$13)/10)+E13</f>
        <v>6570.4</v>
      </c>
      <c r="F14" s="2">
        <f t="shared" ref="F14:F22" si="15">((F$23-F$13)/10)+F13</f>
        <v>6075.4</v>
      </c>
      <c r="G14" s="2">
        <f t="shared" ref="G14:G22" si="16">((G$23-G$13)/10)+G13</f>
        <v>5580.4</v>
      </c>
      <c r="H14" s="2">
        <f t="shared" ref="H14:H22" si="17">((H$23-H$13)/10)+H13</f>
        <v>5087.2</v>
      </c>
      <c r="I14" s="2">
        <f t="shared" ref="I14:I22" si="18">((I$23-I$13)/10)+I13</f>
        <v>4599.3999999999996</v>
      </c>
      <c r="J14" s="2">
        <f t="shared" ref="J14:J22" si="19">((J$23-J$13)/10)+J13</f>
        <v>4124.2</v>
      </c>
      <c r="K14" s="2">
        <f t="shared" ref="K14:K22" si="20">((K$23-K$13)/10)+K13</f>
        <v>3670</v>
      </c>
      <c r="L14" s="2">
        <f t="shared" ref="L14:L22" si="21">((L$23-L$13)/10)+L13</f>
        <v>3244.4</v>
      </c>
    </row>
    <row r="15" spans="1:12" x14ac:dyDescent="0.25">
      <c r="A15" s="5">
        <v>120</v>
      </c>
      <c r="B15" s="2">
        <f t="shared" si="11"/>
        <v>8329.6</v>
      </c>
      <c r="C15" s="2">
        <f t="shared" si="12"/>
        <v>7834.6</v>
      </c>
      <c r="D15" s="2">
        <f t="shared" si="13"/>
        <v>7338.7999999999993</v>
      </c>
      <c r="E15" s="2">
        <f t="shared" si="14"/>
        <v>6843.7999999999993</v>
      </c>
      <c r="F15" s="2">
        <f t="shared" si="15"/>
        <v>6348.7999999999993</v>
      </c>
      <c r="G15" s="2">
        <f t="shared" si="16"/>
        <v>5853.7999999999993</v>
      </c>
      <c r="H15" s="2">
        <f t="shared" si="17"/>
        <v>5360.4</v>
      </c>
      <c r="I15" s="2">
        <f t="shared" si="18"/>
        <v>4871.7999999999993</v>
      </c>
      <c r="J15" s="2">
        <f t="shared" si="19"/>
        <v>4394.3999999999996</v>
      </c>
      <c r="K15" s="2">
        <f t="shared" si="20"/>
        <v>3936</v>
      </c>
      <c r="L15" s="2">
        <f t="shared" si="21"/>
        <v>3503.8</v>
      </c>
    </row>
    <row r="16" spans="1:12" x14ac:dyDescent="0.25">
      <c r="A16" s="5">
        <v>130</v>
      </c>
      <c r="B16" s="2">
        <f t="shared" si="11"/>
        <v>8602.9</v>
      </c>
      <c r="C16" s="2">
        <f t="shared" si="12"/>
        <v>8107.9000000000005</v>
      </c>
      <c r="D16" s="2">
        <f t="shared" si="13"/>
        <v>7612.1999999999989</v>
      </c>
      <c r="E16" s="2">
        <f t="shared" si="14"/>
        <v>7117.1999999999989</v>
      </c>
      <c r="F16" s="2">
        <f t="shared" si="15"/>
        <v>6622.1999999999989</v>
      </c>
      <c r="G16" s="2">
        <f t="shared" si="16"/>
        <v>6127.1999999999989</v>
      </c>
      <c r="H16" s="2">
        <f t="shared" si="17"/>
        <v>5633.5999999999995</v>
      </c>
      <c r="I16" s="2">
        <f t="shared" si="18"/>
        <v>5144.1999999999989</v>
      </c>
      <c r="J16" s="2">
        <f t="shared" si="19"/>
        <v>4664.5999999999995</v>
      </c>
      <c r="K16" s="2">
        <f t="shared" si="20"/>
        <v>4202</v>
      </c>
      <c r="L16" s="2">
        <f t="shared" si="21"/>
        <v>3763.2000000000003</v>
      </c>
    </row>
    <row r="17" spans="1:12" x14ac:dyDescent="0.25">
      <c r="A17" s="5">
        <v>140</v>
      </c>
      <c r="B17" s="2">
        <f t="shared" si="11"/>
        <v>8876.1999999999989</v>
      </c>
      <c r="C17" s="2">
        <f t="shared" si="12"/>
        <v>8381.2000000000007</v>
      </c>
      <c r="D17" s="2">
        <f t="shared" si="13"/>
        <v>7885.5999999999985</v>
      </c>
      <c r="E17" s="2">
        <f t="shared" si="14"/>
        <v>7390.5999999999985</v>
      </c>
      <c r="F17" s="2">
        <f t="shared" si="15"/>
        <v>6895.5999999999985</v>
      </c>
      <c r="G17" s="2">
        <f t="shared" si="16"/>
        <v>6400.5999999999985</v>
      </c>
      <c r="H17" s="2">
        <f t="shared" si="17"/>
        <v>5906.7999999999993</v>
      </c>
      <c r="I17" s="2">
        <f t="shared" si="18"/>
        <v>5416.5999999999985</v>
      </c>
      <c r="J17" s="2">
        <f t="shared" si="19"/>
        <v>4934.7999999999993</v>
      </c>
      <c r="K17" s="2">
        <f t="shared" si="20"/>
        <v>4468</v>
      </c>
      <c r="L17" s="2">
        <f t="shared" si="21"/>
        <v>4022.6000000000004</v>
      </c>
    </row>
    <row r="18" spans="1:12" x14ac:dyDescent="0.25">
      <c r="A18" s="5">
        <v>150</v>
      </c>
      <c r="B18" s="2">
        <f t="shared" si="11"/>
        <v>9149.4999999999982</v>
      </c>
      <c r="C18" s="2">
        <f t="shared" si="12"/>
        <v>8654.5</v>
      </c>
      <c r="D18" s="2">
        <f t="shared" si="13"/>
        <v>8158.9999999999982</v>
      </c>
      <c r="E18" s="2">
        <f t="shared" si="14"/>
        <v>7663.9999999999982</v>
      </c>
      <c r="F18" s="2">
        <f t="shared" si="15"/>
        <v>7168.9999999999982</v>
      </c>
      <c r="G18" s="2">
        <f t="shared" si="16"/>
        <v>6673.9999999999982</v>
      </c>
      <c r="H18" s="2">
        <f t="shared" si="17"/>
        <v>6179.9999999999991</v>
      </c>
      <c r="I18" s="2">
        <f t="shared" si="18"/>
        <v>5688.9999999999982</v>
      </c>
      <c r="J18" s="2">
        <f t="shared" si="19"/>
        <v>5204.9999999999991</v>
      </c>
      <c r="K18" s="2">
        <f t="shared" si="20"/>
        <v>4734</v>
      </c>
      <c r="L18" s="2">
        <f t="shared" si="21"/>
        <v>4282</v>
      </c>
    </row>
    <row r="19" spans="1:12" x14ac:dyDescent="0.25">
      <c r="A19" s="5">
        <v>160</v>
      </c>
      <c r="B19" s="2">
        <f t="shared" si="11"/>
        <v>9422.7999999999975</v>
      </c>
      <c r="C19" s="2">
        <f t="shared" si="12"/>
        <v>8927.7999999999993</v>
      </c>
      <c r="D19" s="2">
        <f t="shared" si="13"/>
        <v>8432.3999999999978</v>
      </c>
      <c r="E19" s="2">
        <f t="shared" si="14"/>
        <v>7937.3999999999978</v>
      </c>
      <c r="F19" s="2">
        <f t="shared" si="15"/>
        <v>7442.3999999999978</v>
      </c>
      <c r="G19" s="2">
        <f t="shared" si="16"/>
        <v>6947.3999999999978</v>
      </c>
      <c r="H19" s="2">
        <f t="shared" si="17"/>
        <v>6453.1999999999989</v>
      </c>
      <c r="I19" s="2">
        <f t="shared" si="18"/>
        <v>5961.3999999999978</v>
      </c>
      <c r="J19" s="2">
        <f t="shared" si="19"/>
        <v>5475.1999999999989</v>
      </c>
      <c r="K19" s="2">
        <f t="shared" si="20"/>
        <v>5000</v>
      </c>
      <c r="L19" s="2">
        <f t="shared" si="21"/>
        <v>4541.3999999999996</v>
      </c>
    </row>
    <row r="20" spans="1:12" x14ac:dyDescent="0.25">
      <c r="A20" s="5">
        <v>170</v>
      </c>
      <c r="B20" s="2">
        <f t="shared" si="11"/>
        <v>9696.0999999999967</v>
      </c>
      <c r="C20" s="2">
        <f t="shared" si="12"/>
        <v>9201.0999999999985</v>
      </c>
      <c r="D20" s="2">
        <f t="shared" si="13"/>
        <v>8705.7999999999975</v>
      </c>
      <c r="E20" s="2">
        <f t="shared" si="14"/>
        <v>8210.7999999999975</v>
      </c>
      <c r="F20" s="2">
        <f t="shared" si="15"/>
        <v>7715.7999999999975</v>
      </c>
      <c r="G20" s="2">
        <f t="shared" si="16"/>
        <v>7220.7999999999975</v>
      </c>
      <c r="H20" s="2">
        <f t="shared" si="17"/>
        <v>6726.3999999999987</v>
      </c>
      <c r="I20" s="2">
        <f t="shared" si="18"/>
        <v>6233.7999999999975</v>
      </c>
      <c r="J20" s="2">
        <f t="shared" si="19"/>
        <v>5745.3999999999987</v>
      </c>
      <c r="K20" s="2">
        <f t="shared" si="20"/>
        <v>5266</v>
      </c>
      <c r="L20" s="2">
        <f t="shared" si="21"/>
        <v>4800.7999999999993</v>
      </c>
    </row>
    <row r="21" spans="1:12" x14ac:dyDescent="0.25">
      <c r="A21" s="5">
        <v>180</v>
      </c>
      <c r="B21" s="2">
        <f t="shared" si="11"/>
        <v>9969.399999999996</v>
      </c>
      <c r="C21" s="2">
        <f t="shared" si="12"/>
        <v>9474.3999999999978</v>
      </c>
      <c r="D21" s="2">
        <f t="shared" si="13"/>
        <v>8979.1999999999971</v>
      </c>
      <c r="E21" s="2">
        <f t="shared" si="14"/>
        <v>8484.1999999999971</v>
      </c>
      <c r="F21" s="2">
        <f t="shared" si="15"/>
        <v>7989.1999999999971</v>
      </c>
      <c r="G21" s="2">
        <f t="shared" si="16"/>
        <v>7494.1999999999971</v>
      </c>
      <c r="H21" s="2">
        <f t="shared" si="17"/>
        <v>6999.5999999999985</v>
      </c>
      <c r="I21" s="2">
        <f t="shared" si="18"/>
        <v>6506.1999999999971</v>
      </c>
      <c r="J21" s="2">
        <f t="shared" si="19"/>
        <v>6015.5999999999985</v>
      </c>
      <c r="K21" s="2">
        <f t="shared" si="20"/>
        <v>5532</v>
      </c>
      <c r="L21" s="2">
        <f t="shared" si="21"/>
        <v>5060.1999999999989</v>
      </c>
    </row>
    <row r="22" spans="1:12" x14ac:dyDescent="0.25">
      <c r="A22" s="5">
        <v>190</v>
      </c>
      <c r="B22" s="2">
        <f t="shared" si="11"/>
        <v>10242.699999999995</v>
      </c>
      <c r="C22" s="2">
        <f t="shared" si="12"/>
        <v>9747.6999999999971</v>
      </c>
      <c r="D22" s="2">
        <f t="shared" si="13"/>
        <v>9252.5999999999967</v>
      </c>
      <c r="E22" s="2">
        <f t="shared" si="14"/>
        <v>8757.5999999999967</v>
      </c>
      <c r="F22" s="2">
        <f t="shared" si="15"/>
        <v>8262.5999999999967</v>
      </c>
      <c r="G22" s="2">
        <f t="shared" si="16"/>
        <v>7767.5999999999967</v>
      </c>
      <c r="H22" s="2">
        <f t="shared" si="17"/>
        <v>7272.7999999999984</v>
      </c>
      <c r="I22" s="2">
        <f t="shared" si="18"/>
        <v>6778.5999999999967</v>
      </c>
      <c r="J22" s="2">
        <f t="shared" si="19"/>
        <v>6285.7999999999984</v>
      </c>
      <c r="K22" s="2">
        <f t="shared" si="20"/>
        <v>5798</v>
      </c>
      <c r="L22" s="2">
        <f t="shared" si="21"/>
        <v>5319.5999999999985</v>
      </c>
    </row>
    <row r="23" spans="1:12" x14ac:dyDescent="0.25">
      <c r="A23" s="5">
        <v>200</v>
      </c>
      <c r="B23" s="4">
        <v>10516</v>
      </c>
      <c r="C23" s="4">
        <v>10021</v>
      </c>
      <c r="D23" s="4">
        <v>9526</v>
      </c>
      <c r="E23" s="4">
        <v>9031</v>
      </c>
      <c r="F23" s="4">
        <v>8536</v>
      </c>
      <c r="G23" s="4">
        <v>8041</v>
      </c>
      <c r="H23" s="4">
        <v>7546</v>
      </c>
      <c r="I23" s="4">
        <v>7051</v>
      </c>
      <c r="J23" s="4">
        <v>6556</v>
      </c>
      <c r="K23" s="4">
        <v>6064</v>
      </c>
      <c r="L23" s="4">
        <v>5579</v>
      </c>
    </row>
    <row r="24" spans="1:12" x14ac:dyDescent="0.25">
      <c r="A24" s="5">
        <v>210</v>
      </c>
      <c r="B24" s="2">
        <f t="shared" ref="B24:B32" si="22">((B$33-B$23)/10)+B23</f>
        <v>10790</v>
      </c>
      <c r="C24" s="2">
        <f t="shared" ref="C24:C32" si="23">((C$33-C$23)/10)+C23</f>
        <v>10295</v>
      </c>
      <c r="D24" s="2">
        <f t="shared" ref="D24:D32" si="24">((D$33-D$23)/10)+D23</f>
        <v>9800</v>
      </c>
      <c r="E24" s="2">
        <f t="shared" ref="E24:E32" si="25">((E$33-E$23)/10)+E23</f>
        <v>9305</v>
      </c>
      <c r="F24" s="2">
        <f t="shared" ref="F24:F32" si="26">((F$33-F$23)/10)+F23</f>
        <v>8810</v>
      </c>
      <c r="G24" s="2">
        <f t="shared" ref="G24:G32" si="27">((G$33-G$23)/10)+G23</f>
        <v>8315</v>
      </c>
      <c r="H24" s="2">
        <f t="shared" ref="H24:H32" si="28">((H$33-H$23)/10)+H23</f>
        <v>7820</v>
      </c>
      <c r="I24" s="2">
        <f t="shared" ref="I24:I32" si="29">((I$33-I$23)/10)+I23</f>
        <v>7325</v>
      </c>
      <c r="J24" s="2">
        <f t="shared" ref="J24:J32" si="30">((J$33-J$23)/10)+J23</f>
        <v>6830</v>
      </c>
      <c r="K24" s="2">
        <f t="shared" ref="K24:K32" si="31">((K$33-K$23)/10)+K23</f>
        <v>6337.7</v>
      </c>
      <c r="L24" s="2">
        <f t="shared" ref="L24:L32" si="32">((L$33-L$23)/10)+L23</f>
        <v>5851.7</v>
      </c>
    </row>
    <row r="25" spans="1:12" x14ac:dyDescent="0.25">
      <c r="A25" s="5">
        <v>220</v>
      </c>
      <c r="B25" s="2">
        <f t="shared" si="22"/>
        <v>11064</v>
      </c>
      <c r="C25" s="2">
        <f t="shared" si="23"/>
        <v>10569</v>
      </c>
      <c r="D25" s="2">
        <f t="shared" si="24"/>
        <v>10074</v>
      </c>
      <c r="E25" s="2">
        <f t="shared" si="25"/>
        <v>9579</v>
      </c>
      <c r="F25" s="2">
        <f t="shared" si="26"/>
        <v>9084</v>
      </c>
      <c r="G25" s="2">
        <f t="shared" si="27"/>
        <v>8589</v>
      </c>
      <c r="H25" s="2">
        <f t="shared" si="28"/>
        <v>8094</v>
      </c>
      <c r="I25" s="2">
        <f t="shared" si="29"/>
        <v>7599</v>
      </c>
      <c r="J25" s="2">
        <f t="shared" si="30"/>
        <v>7104</v>
      </c>
      <c r="K25" s="2">
        <f t="shared" si="31"/>
        <v>6611.4</v>
      </c>
      <c r="L25" s="2">
        <f t="shared" si="32"/>
        <v>6124.4</v>
      </c>
    </row>
    <row r="26" spans="1:12" x14ac:dyDescent="0.25">
      <c r="A26" s="5">
        <v>230</v>
      </c>
      <c r="B26" s="2">
        <f t="shared" si="22"/>
        <v>11338</v>
      </c>
      <c r="C26" s="2">
        <f t="shared" si="23"/>
        <v>10843</v>
      </c>
      <c r="D26" s="2">
        <f t="shared" si="24"/>
        <v>10348</v>
      </c>
      <c r="E26" s="2">
        <f t="shared" si="25"/>
        <v>9853</v>
      </c>
      <c r="F26" s="2">
        <f t="shared" si="26"/>
        <v>9358</v>
      </c>
      <c r="G26" s="2">
        <f t="shared" si="27"/>
        <v>8863</v>
      </c>
      <c r="H26" s="2">
        <f t="shared" si="28"/>
        <v>8368</v>
      </c>
      <c r="I26" s="2">
        <f t="shared" si="29"/>
        <v>7873</v>
      </c>
      <c r="J26" s="2">
        <f t="shared" si="30"/>
        <v>7378</v>
      </c>
      <c r="K26" s="2">
        <f t="shared" si="31"/>
        <v>6885.0999999999995</v>
      </c>
      <c r="L26" s="2">
        <f t="shared" si="32"/>
        <v>6397.0999999999995</v>
      </c>
    </row>
    <row r="27" spans="1:12" x14ac:dyDescent="0.25">
      <c r="A27" s="5">
        <v>240</v>
      </c>
      <c r="B27" s="2">
        <f t="shared" si="22"/>
        <v>11612</v>
      </c>
      <c r="C27" s="2">
        <f t="shared" si="23"/>
        <v>11117</v>
      </c>
      <c r="D27" s="2">
        <f t="shared" si="24"/>
        <v>10622</v>
      </c>
      <c r="E27" s="2">
        <f t="shared" si="25"/>
        <v>10127</v>
      </c>
      <c r="F27" s="2">
        <f t="shared" si="26"/>
        <v>9632</v>
      </c>
      <c r="G27" s="2">
        <f t="shared" si="27"/>
        <v>9137</v>
      </c>
      <c r="H27" s="2">
        <f t="shared" si="28"/>
        <v>8642</v>
      </c>
      <c r="I27" s="2">
        <f t="shared" si="29"/>
        <v>8147</v>
      </c>
      <c r="J27" s="2">
        <f t="shared" si="30"/>
        <v>7652</v>
      </c>
      <c r="K27" s="2">
        <f t="shared" si="31"/>
        <v>7158.7999999999993</v>
      </c>
      <c r="L27" s="2">
        <f t="shared" si="32"/>
        <v>6669.7999999999993</v>
      </c>
    </row>
    <row r="28" spans="1:12" x14ac:dyDescent="0.25">
      <c r="A28" s="5">
        <v>250</v>
      </c>
      <c r="B28" s="2">
        <f t="shared" si="22"/>
        <v>11886</v>
      </c>
      <c r="C28" s="2">
        <f t="shared" si="23"/>
        <v>11391</v>
      </c>
      <c r="D28" s="2">
        <f t="shared" si="24"/>
        <v>10896</v>
      </c>
      <c r="E28" s="2">
        <f t="shared" si="25"/>
        <v>10401</v>
      </c>
      <c r="F28" s="2">
        <f t="shared" si="26"/>
        <v>9906</v>
      </c>
      <c r="G28" s="2">
        <f t="shared" si="27"/>
        <v>9411</v>
      </c>
      <c r="H28" s="2">
        <f t="shared" si="28"/>
        <v>8916</v>
      </c>
      <c r="I28" s="2">
        <f t="shared" si="29"/>
        <v>8421</v>
      </c>
      <c r="J28" s="2">
        <f t="shared" si="30"/>
        <v>7926</v>
      </c>
      <c r="K28" s="2">
        <f t="shared" si="31"/>
        <v>7432.4999999999991</v>
      </c>
      <c r="L28" s="2">
        <f t="shared" si="32"/>
        <v>6942.4999999999991</v>
      </c>
    </row>
    <row r="29" spans="1:12" x14ac:dyDescent="0.25">
      <c r="A29" s="5">
        <v>260</v>
      </c>
      <c r="B29" s="2">
        <f t="shared" si="22"/>
        <v>12160</v>
      </c>
      <c r="C29" s="2">
        <f t="shared" si="23"/>
        <v>11665</v>
      </c>
      <c r="D29" s="2">
        <f t="shared" si="24"/>
        <v>11170</v>
      </c>
      <c r="E29" s="2">
        <f t="shared" si="25"/>
        <v>10675</v>
      </c>
      <c r="F29" s="2">
        <f t="shared" si="26"/>
        <v>10180</v>
      </c>
      <c r="G29" s="2">
        <f t="shared" si="27"/>
        <v>9685</v>
      </c>
      <c r="H29" s="2">
        <f t="shared" si="28"/>
        <v>9190</v>
      </c>
      <c r="I29" s="2">
        <f t="shared" si="29"/>
        <v>8695</v>
      </c>
      <c r="J29" s="2">
        <f t="shared" si="30"/>
        <v>8200</v>
      </c>
      <c r="K29" s="2">
        <f t="shared" si="31"/>
        <v>7706.1999999999989</v>
      </c>
      <c r="L29" s="2">
        <f t="shared" si="32"/>
        <v>7215.1999999999989</v>
      </c>
    </row>
    <row r="30" spans="1:12" x14ac:dyDescent="0.25">
      <c r="A30" s="5">
        <v>270</v>
      </c>
      <c r="B30" s="2">
        <f t="shared" si="22"/>
        <v>12434</v>
      </c>
      <c r="C30" s="2">
        <f t="shared" si="23"/>
        <v>11939</v>
      </c>
      <c r="D30" s="2">
        <f t="shared" si="24"/>
        <v>11444</v>
      </c>
      <c r="E30" s="2">
        <f t="shared" si="25"/>
        <v>10949</v>
      </c>
      <c r="F30" s="2">
        <f t="shared" si="26"/>
        <v>10454</v>
      </c>
      <c r="G30" s="2">
        <f t="shared" si="27"/>
        <v>9959</v>
      </c>
      <c r="H30" s="2">
        <f t="shared" si="28"/>
        <v>9464</v>
      </c>
      <c r="I30" s="2">
        <f t="shared" si="29"/>
        <v>8969</v>
      </c>
      <c r="J30" s="2">
        <f t="shared" si="30"/>
        <v>8474</v>
      </c>
      <c r="K30" s="2">
        <f t="shared" si="31"/>
        <v>7979.8999999999987</v>
      </c>
      <c r="L30" s="2">
        <f t="shared" si="32"/>
        <v>7487.8999999999987</v>
      </c>
    </row>
    <row r="31" spans="1:12" x14ac:dyDescent="0.25">
      <c r="A31" s="5">
        <v>280</v>
      </c>
      <c r="B31" s="2">
        <f t="shared" si="22"/>
        <v>12708</v>
      </c>
      <c r="C31" s="2">
        <f t="shared" si="23"/>
        <v>12213</v>
      </c>
      <c r="D31" s="2">
        <f t="shared" si="24"/>
        <v>11718</v>
      </c>
      <c r="E31" s="2">
        <f t="shared" si="25"/>
        <v>11223</v>
      </c>
      <c r="F31" s="2">
        <f t="shared" si="26"/>
        <v>10728</v>
      </c>
      <c r="G31" s="2">
        <f t="shared" si="27"/>
        <v>10233</v>
      </c>
      <c r="H31" s="2">
        <f t="shared" si="28"/>
        <v>9738</v>
      </c>
      <c r="I31" s="2">
        <f t="shared" si="29"/>
        <v>9243</v>
      </c>
      <c r="J31" s="2">
        <f t="shared" si="30"/>
        <v>8748</v>
      </c>
      <c r="K31" s="2">
        <f t="shared" si="31"/>
        <v>8253.5999999999985</v>
      </c>
      <c r="L31" s="2">
        <f t="shared" si="32"/>
        <v>7760.5999999999985</v>
      </c>
    </row>
    <row r="32" spans="1:12" x14ac:dyDescent="0.25">
      <c r="A32" s="5">
        <v>290</v>
      </c>
      <c r="B32" s="2">
        <f t="shared" si="22"/>
        <v>12982</v>
      </c>
      <c r="C32" s="2">
        <f t="shared" si="23"/>
        <v>12487</v>
      </c>
      <c r="D32" s="2">
        <f t="shared" si="24"/>
        <v>11992</v>
      </c>
      <c r="E32" s="2">
        <f t="shared" si="25"/>
        <v>11497</v>
      </c>
      <c r="F32" s="2">
        <f t="shared" si="26"/>
        <v>11002</v>
      </c>
      <c r="G32" s="2">
        <f t="shared" si="27"/>
        <v>10507</v>
      </c>
      <c r="H32" s="2">
        <f t="shared" si="28"/>
        <v>10012</v>
      </c>
      <c r="I32" s="2">
        <f t="shared" si="29"/>
        <v>9517</v>
      </c>
      <c r="J32" s="2">
        <f t="shared" si="30"/>
        <v>9022</v>
      </c>
      <c r="K32" s="2">
        <f t="shared" si="31"/>
        <v>8527.2999999999993</v>
      </c>
      <c r="L32" s="2">
        <f t="shared" si="32"/>
        <v>8033.2999999999984</v>
      </c>
    </row>
    <row r="33" spans="1:12" x14ac:dyDescent="0.25">
      <c r="A33" s="5">
        <v>300</v>
      </c>
      <c r="B33" s="4">
        <v>13256</v>
      </c>
      <c r="C33" s="4">
        <v>12761</v>
      </c>
      <c r="D33" s="4">
        <v>12266</v>
      </c>
      <c r="E33" s="4">
        <v>11771</v>
      </c>
      <c r="F33" s="4">
        <v>11276</v>
      </c>
      <c r="G33" s="4">
        <v>10781</v>
      </c>
      <c r="H33" s="4">
        <v>10286</v>
      </c>
      <c r="I33" s="4">
        <v>9791</v>
      </c>
      <c r="J33" s="4">
        <v>9296</v>
      </c>
      <c r="K33" s="4">
        <v>8801</v>
      </c>
      <c r="L33" s="4">
        <v>8306</v>
      </c>
    </row>
    <row r="34" spans="1:12" x14ac:dyDescent="0.25">
      <c r="A34" s="5">
        <v>310</v>
      </c>
      <c r="B34" s="2">
        <f t="shared" ref="B34:B42" si="33">((B$43-B$33)/10)+B33</f>
        <v>13430</v>
      </c>
      <c r="C34" s="2">
        <f t="shared" ref="C34:C42" si="34">((C$43-C$33)/10)+C33</f>
        <v>13035</v>
      </c>
      <c r="D34" s="2">
        <f t="shared" ref="D34:D42" si="35">((D$43-D$33)/10)+D33</f>
        <v>12540</v>
      </c>
      <c r="E34" s="2">
        <f t="shared" ref="E34:E42" si="36">((E$43-E$33)/10)+E33</f>
        <v>12045</v>
      </c>
      <c r="F34" s="2">
        <f t="shared" ref="F34:F42" si="37">((F$43-F$33)/10)+F33</f>
        <v>11550</v>
      </c>
      <c r="G34" s="2">
        <f t="shared" ref="G34:G42" si="38">((G$43-G$33)/10)+G33</f>
        <v>11055</v>
      </c>
      <c r="H34" s="2">
        <f t="shared" ref="H34:H42" si="39">((H$43-H$33)/10)+H33</f>
        <v>10560</v>
      </c>
      <c r="I34" s="2">
        <f t="shared" ref="I34:I42" si="40">((I$43-I$33)/10)+I33</f>
        <v>10065</v>
      </c>
      <c r="J34" s="2">
        <f t="shared" ref="J34:J42" si="41">((J$43-J$33)/10)+J33</f>
        <v>9570</v>
      </c>
      <c r="K34" s="2">
        <f t="shared" ref="K34:K42" si="42">((K$43-K$33)/10)+K33</f>
        <v>9075</v>
      </c>
      <c r="L34" s="2">
        <f t="shared" ref="L34:L42" si="43">((L$43-L$33)/10)+L33</f>
        <v>8580</v>
      </c>
    </row>
    <row r="35" spans="1:12" x14ac:dyDescent="0.25">
      <c r="A35" s="5">
        <v>320</v>
      </c>
      <c r="B35" s="2">
        <f t="shared" si="33"/>
        <v>13604</v>
      </c>
      <c r="C35" s="2">
        <f t="shared" si="34"/>
        <v>13309</v>
      </c>
      <c r="D35" s="2">
        <f t="shared" si="35"/>
        <v>12814</v>
      </c>
      <c r="E35" s="2">
        <f t="shared" si="36"/>
        <v>12319</v>
      </c>
      <c r="F35" s="2">
        <f t="shared" si="37"/>
        <v>11824</v>
      </c>
      <c r="G35" s="2">
        <f t="shared" si="38"/>
        <v>11329</v>
      </c>
      <c r="H35" s="2">
        <f t="shared" si="39"/>
        <v>10834</v>
      </c>
      <c r="I35" s="2">
        <f t="shared" si="40"/>
        <v>10339</v>
      </c>
      <c r="J35" s="2">
        <f t="shared" si="41"/>
        <v>9844</v>
      </c>
      <c r="K35" s="2">
        <f t="shared" si="42"/>
        <v>9349</v>
      </c>
      <c r="L35" s="2">
        <f t="shared" si="43"/>
        <v>8854</v>
      </c>
    </row>
    <row r="36" spans="1:12" x14ac:dyDescent="0.25">
      <c r="A36" s="5">
        <v>330</v>
      </c>
      <c r="B36" s="2">
        <f t="shared" si="33"/>
        <v>13778</v>
      </c>
      <c r="C36" s="2">
        <f t="shared" si="34"/>
        <v>13583</v>
      </c>
      <c r="D36" s="2">
        <f t="shared" si="35"/>
        <v>13088</v>
      </c>
      <c r="E36" s="2">
        <f t="shared" si="36"/>
        <v>12593</v>
      </c>
      <c r="F36" s="2">
        <f t="shared" si="37"/>
        <v>12098</v>
      </c>
      <c r="G36" s="2">
        <f t="shared" si="38"/>
        <v>11603</v>
      </c>
      <c r="H36" s="2">
        <f t="shared" si="39"/>
        <v>11108</v>
      </c>
      <c r="I36" s="2">
        <f t="shared" si="40"/>
        <v>10613</v>
      </c>
      <c r="J36" s="2">
        <f t="shared" si="41"/>
        <v>10118</v>
      </c>
      <c r="K36" s="2">
        <f t="shared" si="42"/>
        <v>9623</v>
      </c>
      <c r="L36" s="2">
        <f t="shared" si="43"/>
        <v>9128</v>
      </c>
    </row>
    <row r="37" spans="1:12" x14ac:dyDescent="0.25">
      <c r="A37" s="5">
        <v>340</v>
      </c>
      <c r="B37" s="2">
        <f t="shared" si="33"/>
        <v>13952</v>
      </c>
      <c r="C37" s="2">
        <f t="shared" si="34"/>
        <v>13857</v>
      </c>
      <c r="D37" s="2">
        <f t="shared" si="35"/>
        <v>13362</v>
      </c>
      <c r="E37" s="2">
        <f t="shared" si="36"/>
        <v>12867</v>
      </c>
      <c r="F37" s="2">
        <f t="shared" si="37"/>
        <v>12372</v>
      </c>
      <c r="G37" s="2">
        <f t="shared" si="38"/>
        <v>11877</v>
      </c>
      <c r="H37" s="2">
        <f t="shared" si="39"/>
        <v>11382</v>
      </c>
      <c r="I37" s="2">
        <f t="shared" si="40"/>
        <v>10887</v>
      </c>
      <c r="J37" s="2">
        <f t="shared" si="41"/>
        <v>10392</v>
      </c>
      <c r="K37" s="2">
        <f t="shared" si="42"/>
        <v>9897</v>
      </c>
      <c r="L37" s="2">
        <f t="shared" si="43"/>
        <v>9402</v>
      </c>
    </row>
    <row r="38" spans="1:12" x14ac:dyDescent="0.25">
      <c r="A38" s="5">
        <v>350</v>
      </c>
      <c r="B38" s="2">
        <f t="shared" si="33"/>
        <v>14126</v>
      </c>
      <c r="C38" s="2">
        <f t="shared" si="34"/>
        <v>14131</v>
      </c>
      <c r="D38" s="2">
        <f t="shared" si="35"/>
        <v>13636</v>
      </c>
      <c r="E38" s="2">
        <f t="shared" si="36"/>
        <v>13141</v>
      </c>
      <c r="F38" s="2">
        <f t="shared" si="37"/>
        <v>12646</v>
      </c>
      <c r="G38" s="2">
        <f t="shared" si="38"/>
        <v>12151</v>
      </c>
      <c r="H38" s="2">
        <f t="shared" si="39"/>
        <v>11656</v>
      </c>
      <c r="I38" s="2">
        <f t="shared" si="40"/>
        <v>11161</v>
      </c>
      <c r="J38" s="2">
        <f t="shared" si="41"/>
        <v>10666</v>
      </c>
      <c r="K38" s="2">
        <f t="shared" si="42"/>
        <v>10171</v>
      </c>
      <c r="L38" s="2">
        <f t="shared" si="43"/>
        <v>9676</v>
      </c>
    </row>
    <row r="39" spans="1:12" x14ac:dyDescent="0.25">
      <c r="A39" s="5">
        <v>360</v>
      </c>
      <c r="B39" s="2">
        <f t="shared" si="33"/>
        <v>14300</v>
      </c>
      <c r="C39" s="2">
        <f t="shared" si="34"/>
        <v>14405</v>
      </c>
      <c r="D39" s="2">
        <f t="shared" si="35"/>
        <v>13910</v>
      </c>
      <c r="E39" s="2">
        <f t="shared" si="36"/>
        <v>13415</v>
      </c>
      <c r="F39" s="2">
        <f t="shared" si="37"/>
        <v>12920</v>
      </c>
      <c r="G39" s="2">
        <f t="shared" si="38"/>
        <v>12425</v>
      </c>
      <c r="H39" s="2">
        <f t="shared" si="39"/>
        <v>11930</v>
      </c>
      <c r="I39" s="2">
        <f t="shared" si="40"/>
        <v>11435</v>
      </c>
      <c r="J39" s="2">
        <f t="shared" si="41"/>
        <v>10940</v>
      </c>
      <c r="K39" s="2">
        <f t="shared" si="42"/>
        <v>10445</v>
      </c>
      <c r="L39" s="2">
        <f t="shared" si="43"/>
        <v>9950</v>
      </c>
    </row>
    <row r="40" spans="1:12" x14ac:dyDescent="0.25">
      <c r="A40" s="5">
        <v>370</v>
      </c>
      <c r="B40" s="2">
        <f t="shared" si="33"/>
        <v>14474</v>
      </c>
      <c r="C40" s="2">
        <f t="shared" si="34"/>
        <v>14679</v>
      </c>
      <c r="D40" s="2">
        <f t="shared" si="35"/>
        <v>14184</v>
      </c>
      <c r="E40" s="2">
        <f t="shared" si="36"/>
        <v>13689</v>
      </c>
      <c r="F40" s="2">
        <f t="shared" si="37"/>
        <v>13194</v>
      </c>
      <c r="G40" s="2">
        <f t="shared" si="38"/>
        <v>12699</v>
      </c>
      <c r="H40" s="2">
        <f t="shared" si="39"/>
        <v>12204</v>
      </c>
      <c r="I40" s="2">
        <f t="shared" si="40"/>
        <v>11709</v>
      </c>
      <c r="J40" s="2">
        <f t="shared" si="41"/>
        <v>11214</v>
      </c>
      <c r="K40" s="2">
        <f t="shared" si="42"/>
        <v>10719</v>
      </c>
      <c r="L40" s="2">
        <f t="shared" si="43"/>
        <v>10224</v>
      </c>
    </row>
    <row r="41" spans="1:12" x14ac:dyDescent="0.25">
      <c r="A41" s="5">
        <v>380</v>
      </c>
      <c r="B41" s="2">
        <f t="shared" si="33"/>
        <v>14648</v>
      </c>
      <c r="C41" s="2">
        <f t="shared" si="34"/>
        <v>14953</v>
      </c>
      <c r="D41" s="2">
        <f t="shared" si="35"/>
        <v>14458</v>
      </c>
      <c r="E41" s="2">
        <f t="shared" si="36"/>
        <v>13963</v>
      </c>
      <c r="F41" s="2">
        <f t="shared" si="37"/>
        <v>13468</v>
      </c>
      <c r="G41" s="2">
        <f t="shared" si="38"/>
        <v>12973</v>
      </c>
      <c r="H41" s="2">
        <f t="shared" si="39"/>
        <v>12478</v>
      </c>
      <c r="I41" s="2">
        <f t="shared" si="40"/>
        <v>11983</v>
      </c>
      <c r="J41" s="2">
        <f t="shared" si="41"/>
        <v>11488</v>
      </c>
      <c r="K41" s="2">
        <f t="shared" si="42"/>
        <v>10993</v>
      </c>
      <c r="L41" s="2">
        <f t="shared" si="43"/>
        <v>10498</v>
      </c>
    </row>
    <row r="42" spans="1:12" x14ac:dyDescent="0.25">
      <c r="A42" s="5">
        <v>390</v>
      </c>
      <c r="B42" s="2">
        <f t="shared" si="33"/>
        <v>14822</v>
      </c>
      <c r="C42" s="2">
        <f t="shared" si="34"/>
        <v>15227</v>
      </c>
      <c r="D42" s="2">
        <f t="shared" si="35"/>
        <v>14732</v>
      </c>
      <c r="E42" s="2">
        <f t="shared" si="36"/>
        <v>14237</v>
      </c>
      <c r="F42" s="2">
        <f t="shared" si="37"/>
        <v>13742</v>
      </c>
      <c r="G42" s="2">
        <f t="shared" si="38"/>
        <v>13247</v>
      </c>
      <c r="H42" s="2">
        <f t="shared" si="39"/>
        <v>12752</v>
      </c>
      <c r="I42" s="2">
        <f t="shared" si="40"/>
        <v>12257</v>
      </c>
      <c r="J42" s="2">
        <f t="shared" si="41"/>
        <v>11762</v>
      </c>
      <c r="K42" s="2">
        <f t="shared" si="42"/>
        <v>11267</v>
      </c>
      <c r="L42" s="2">
        <f t="shared" si="43"/>
        <v>10772</v>
      </c>
    </row>
    <row r="43" spans="1:12" x14ac:dyDescent="0.25">
      <c r="A43" s="5">
        <v>400</v>
      </c>
      <c r="B43" s="4">
        <v>14996</v>
      </c>
      <c r="C43" s="4">
        <v>15501</v>
      </c>
      <c r="D43" s="4">
        <v>15006</v>
      </c>
      <c r="E43" s="4">
        <v>14511</v>
      </c>
      <c r="F43" s="4">
        <v>14016</v>
      </c>
      <c r="G43" s="4">
        <v>13521</v>
      </c>
      <c r="H43" s="4">
        <v>13026</v>
      </c>
      <c r="I43" s="4">
        <v>12531</v>
      </c>
      <c r="J43" s="4">
        <v>12036</v>
      </c>
      <c r="K43" s="4">
        <v>11541</v>
      </c>
      <c r="L43" s="4">
        <v>11046</v>
      </c>
    </row>
    <row r="44" spans="1:12" x14ac:dyDescent="0.25">
      <c r="A44" s="5">
        <v>410</v>
      </c>
      <c r="B44" s="2">
        <f t="shared" ref="B44:B52" si="44">((B$53-B$43)/10)+B43</f>
        <v>15370</v>
      </c>
      <c r="C44" s="2">
        <f t="shared" ref="C44:C52" si="45">((C$53-C$43)/10)+C43</f>
        <v>15775</v>
      </c>
      <c r="D44" s="2">
        <f t="shared" ref="D44:D52" si="46">((D$53-D$43)/10)+D43</f>
        <v>15280.1</v>
      </c>
      <c r="E44" s="2">
        <f t="shared" ref="E44:E52" si="47">((E$53-E$43)/10)+E43</f>
        <v>14785</v>
      </c>
      <c r="F44" s="2">
        <f t="shared" ref="F44:F52" si="48">((F$53-F$43)/10)+F43</f>
        <v>14290</v>
      </c>
      <c r="G44" s="2">
        <f t="shared" ref="G44:G52" si="49">((G$53-G$43)/10)+G43</f>
        <v>13795</v>
      </c>
      <c r="H44" s="2">
        <f t="shared" ref="H44:H52" si="50">((H$53-H$43)/10)+H43</f>
        <v>13300</v>
      </c>
      <c r="I44" s="2">
        <f t="shared" ref="I44:I52" si="51">((I$53-I$43)/10)+I43</f>
        <v>12805</v>
      </c>
      <c r="J44" s="2">
        <f t="shared" ref="J44:J52" si="52">((J$53-J$43)/10)+J43</f>
        <v>12310</v>
      </c>
      <c r="K44" s="2">
        <f t="shared" ref="K44:K52" si="53">((K$53-K$43)/10)+K43</f>
        <v>11815</v>
      </c>
      <c r="L44" s="2">
        <f t="shared" ref="L44:L52" si="54">((L$53-L$43)/10)+L43</f>
        <v>11320</v>
      </c>
    </row>
    <row r="45" spans="1:12" x14ac:dyDescent="0.25">
      <c r="A45" s="5">
        <v>420</v>
      </c>
      <c r="B45" s="2">
        <f t="shared" si="44"/>
        <v>15744</v>
      </c>
      <c r="C45" s="2">
        <f t="shared" si="45"/>
        <v>16049</v>
      </c>
      <c r="D45" s="2">
        <f t="shared" si="46"/>
        <v>15554.2</v>
      </c>
      <c r="E45" s="2">
        <f t="shared" si="47"/>
        <v>15059</v>
      </c>
      <c r="F45" s="2">
        <f t="shared" si="48"/>
        <v>14564</v>
      </c>
      <c r="G45" s="2">
        <f t="shared" si="49"/>
        <v>14069</v>
      </c>
      <c r="H45" s="2">
        <f t="shared" si="50"/>
        <v>13574</v>
      </c>
      <c r="I45" s="2">
        <f t="shared" si="51"/>
        <v>13079</v>
      </c>
      <c r="J45" s="2">
        <f t="shared" si="52"/>
        <v>12584</v>
      </c>
      <c r="K45" s="2">
        <f t="shared" si="53"/>
        <v>12089</v>
      </c>
      <c r="L45" s="2">
        <f t="shared" si="54"/>
        <v>11594</v>
      </c>
    </row>
    <row r="46" spans="1:12" x14ac:dyDescent="0.25">
      <c r="A46" s="5">
        <v>430</v>
      </c>
      <c r="B46" s="2">
        <f t="shared" si="44"/>
        <v>16118</v>
      </c>
      <c r="C46" s="2">
        <f t="shared" si="45"/>
        <v>16323</v>
      </c>
      <c r="D46" s="2">
        <f t="shared" si="46"/>
        <v>15828.300000000001</v>
      </c>
      <c r="E46" s="2">
        <f t="shared" si="47"/>
        <v>15333</v>
      </c>
      <c r="F46" s="2">
        <f t="shared" si="48"/>
        <v>14838</v>
      </c>
      <c r="G46" s="2">
        <f t="shared" si="49"/>
        <v>14343</v>
      </c>
      <c r="H46" s="2">
        <f t="shared" si="50"/>
        <v>13848</v>
      </c>
      <c r="I46" s="2">
        <f t="shared" si="51"/>
        <v>13353</v>
      </c>
      <c r="J46" s="2">
        <f t="shared" si="52"/>
        <v>12858</v>
      </c>
      <c r="K46" s="2">
        <f t="shared" si="53"/>
        <v>12363</v>
      </c>
      <c r="L46" s="2">
        <f t="shared" si="54"/>
        <v>11868</v>
      </c>
    </row>
    <row r="47" spans="1:12" x14ac:dyDescent="0.25">
      <c r="A47" s="5">
        <v>440</v>
      </c>
      <c r="B47" s="2">
        <f t="shared" si="44"/>
        <v>16492</v>
      </c>
      <c r="C47" s="2">
        <f t="shared" si="45"/>
        <v>16597</v>
      </c>
      <c r="D47" s="2">
        <f t="shared" si="46"/>
        <v>16102.400000000001</v>
      </c>
      <c r="E47" s="2">
        <f t="shared" si="47"/>
        <v>15607</v>
      </c>
      <c r="F47" s="2">
        <f t="shared" si="48"/>
        <v>15112</v>
      </c>
      <c r="G47" s="2">
        <f t="shared" si="49"/>
        <v>14617</v>
      </c>
      <c r="H47" s="2">
        <f t="shared" si="50"/>
        <v>14122</v>
      </c>
      <c r="I47" s="2">
        <f t="shared" si="51"/>
        <v>13627</v>
      </c>
      <c r="J47" s="2">
        <f t="shared" si="52"/>
        <v>13132</v>
      </c>
      <c r="K47" s="2">
        <f t="shared" si="53"/>
        <v>12637</v>
      </c>
      <c r="L47" s="2">
        <f t="shared" si="54"/>
        <v>12142</v>
      </c>
    </row>
    <row r="48" spans="1:12" x14ac:dyDescent="0.25">
      <c r="A48" s="5">
        <v>450</v>
      </c>
      <c r="B48" s="2">
        <f t="shared" si="44"/>
        <v>16866</v>
      </c>
      <c r="C48" s="2">
        <f t="shared" si="45"/>
        <v>16871</v>
      </c>
      <c r="D48" s="2">
        <f t="shared" si="46"/>
        <v>16376.500000000002</v>
      </c>
      <c r="E48" s="2">
        <f t="shared" si="47"/>
        <v>15881</v>
      </c>
      <c r="F48" s="2">
        <f t="shared" si="48"/>
        <v>15386</v>
      </c>
      <c r="G48" s="2">
        <f t="shared" si="49"/>
        <v>14891</v>
      </c>
      <c r="H48" s="2">
        <f t="shared" si="50"/>
        <v>14396</v>
      </c>
      <c r="I48" s="2">
        <f t="shared" si="51"/>
        <v>13901</v>
      </c>
      <c r="J48" s="2">
        <f t="shared" si="52"/>
        <v>13406</v>
      </c>
      <c r="K48" s="2">
        <f t="shared" si="53"/>
        <v>12911</v>
      </c>
      <c r="L48" s="2">
        <f t="shared" si="54"/>
        <v>12416</v>
      </c>
    </row>
    <row r="49" spans="1:12" x14ac:dyDescent="0.25">
      <c r="A49" s="5">
        <v>460</v>
      </c>
      <c r="B49" s="2">
        <f t="shared" si="44"/>
        <v>17240</v>
      </c>
      <c r="C49" s="2">
        <f t="shared" si="45"/>
        <v>17145</v>
      </c>
      <c r="D49" s="2">
        <f t="shared" si="46"/>
        <v>16650.600000000002</v>
      </c>
      <c r="E49" s="2">
        <f t="shared" si="47"/>
        <v>16155</v>
      </c>
      <c r="F49" s="2">
        <f t="shared" si="48"/>
        <v>15660</v>
      </c>
      <c r="G49" s="2">
        <f t="shared" si="49"/>
        <v>15165</v>
      </c>
      <c r="H49" s="2">
        <f t="shared" si="50"/>
        <v>14670</v>
      </c>
      <c r="I49" s="2">
        <f t="shared" si="51"/>
        <v>14175</v>
      </c>
      <c r="J49" s="2">
        <f t="shared" si="52"/>
        <v>13680</v>
      </c>
      <c r="K49" s="2">
        <f t="shared" si="53"/>
        <v>13185</v>
      </c>
      <c r="L49" s="2">
        <f t="shared" si="54"/>
        <v>12690</v>
      </c>
    </row>
    <row r="50" spans="1:12" x14ac:dyDescent="0.25">
      <c r="A50" s="5">
        <v>470</v>
      </c>
      <c r="B50" s="2">
        <f t="shared" si="44"/>
        <v>17614</v>
      </c>
      <c r="C50" s="2">
        <f t="shared" si="45"/>
        <v>17419</v>
      </c>
      <c r="D50" s="2">
        <f t="shared" si="46"/>
        <v>16924.7</v>
      </c>
      <c r="E50" s="2">
        <f t="shared" si="47"/>
        <v>16429</v>
      </c>
      <c r="F50" s="2">
        <f t="shared" si="48"/>
        <v>15934</v>
      </c>
      <c r="G50" s="2">
        <f t="shared" si="49"/>
        <v>15439</v>
      </c>
      <c r="H50" s="2">
        <f t="shared" si="50"/>
        <v>14944</v>
      </c>
      <c r="I50" s="2">
        <f t="shared" si="51"/>
        <v>14449</v>
      </c>
      <c r="J50" s="2">
        <f t="shared" si="52"/>
        <v>13954</v>
      </c>
      <c r="K50" s="2">
        <f t="shared" si="53"/>
        <v>13459</v>
      </c>
      <c r="L50" s="2">
        <f t="shared" si="54"/>
        <v>12964</v>
      </c>
    </row>
    <row r="51" spans="1:12" x14ac:dyDescent="0.25">
      <c r="A51" s="5">
        <v>480</v>
      </c>
      <c r="B51" s="2">
        <f t="shared" si="44"/>
        <v>17988</v>
      </c>
      <c r="C51" s="2">
        <f t="shared" si="45"/>
        <v>17693</v>
      </c>
      <c r="D51" s="2">
        <f t="shared" si="46"/>
        <v>17198.8</v>
      </c>
      <c r="E51" s="2">
        <f t="shared" si="47"/>
        <v>16703</v>
      </c>
      <c r="F51" s="2">
        <f t="shared" si="48"/>
        <v>16208</v>
      </c>
      <c r="G51" s="2">
        <f t="shared" si="49"/>
        <v>15713</v>
      </c>
      <c r="H51" s="2">
        <f t="shared" si="50"/>
        <v>15218</v>
      </c>
      <c r="I51" s="2">
        <f t="shared" si="51"/>
        <v>14723</v>
      </c>
      <c r="J51" s="2">
        <f t="shared" si="52"/>
        <v>14228</v>
      </c>
      <c r="K51" s="2">
        <f t="shared" si="53"/>
        <v>13733</v>
      </c>
      <c r="L51" s="2">
        <f t="shared" si="54"/>
        <v>13238</v>
      </c>
    </row>
    <row r="52" spans="1:12" x14ac:dyDescent="0.25">
      <c r="A52" s="5">
        <v>490</v>
      </c>
      <c r="B52" s="2">
        <f t="shared" si="44"/>
        <v>18362</v>
      </c>
      <c r="C52" s="2">
        <f t="shared" si="45"/>
        <v>17967</v>
      </c>
      <c r="D52" s="2">
        <f t="shared" si="46"/>
        <v>17472.899999999998</v>
      </c>
      <c r="E52" s="2">
        <f t="shared" si="47"/>
        <v>16977</v>
      </c>
      <c r="F52" s="2">
        <f t="shared" si="48"/>
        <v>16482</v>
      </c>
      <c r="G52" s="2">
        <f t="shared" si="49"/>
        <v>15987</v>
      </c>
      <c r="H52" s="2">
        <f t="shared" si="50"/>
        <v>15492</v>
      </c>
      <c r="I52" s="2">
        <f t="shared" si="51"/>
        <v>14997</v>
      </c>
      <c r="J52" s="2">
        <f t="shared" si="52"/>
        <v>14502</v>
      </c>
      <c r="K52" s="2">
        <f t="shared" si="53"/>
        <v>14007</v>
      </c>
      <c r="L52" s="2">
        <f t="shared" si="54"/>
        <v>13512</v>
      </c>
    </row>
    <row r="53" spans="1:12" x14ac:dyDescent="0.25">
      <c r="A53" s="5">
        <v>500</v>
      </c>
      <c r="B53" s="4">
        <v>18736</v>
      </c>
      <c r="C53" s="4">
        <v>18241</v>
      </c>
      <c r="D53" s="4">
        <v>17747</v>
      </c>
      <c r="E53" s="4">
        <v>17251</v>
      </c>
      <c r="F53" s="4">
        <v>16756</v>
      </c>
      <c r="G53" s="4">
        <v>16261</v>
      </c>
      <c r="H53" s="4">
        <v>15766</v>
      </c>
      <c r="I53" s="4">
        <v>15271</v>
      </c>
      <c r="J53" s="4">
        <v>14776</v>
      </c>
      <c r="K53" s="4">
        <v>14281</v>
      </c>
      <c r="L53" s="4">
        <v>13786</v>
      </c>
    </row>
    <row r="54" spans="1:12" x14ac:dyDescent="0.25">
      <c r="A54" s="5">
        <v>510</v>
      </c>
      <c r="B54" s="2">
        <f t="shared" ref="B54:B62" si="55">((B$63-B$53)/10+B53)</f>
        <v>19010</v>
      </c>
      <c r="C54" s="2">
        <f t="shared" ref="C54:C62" si="56">((C$63-C$53)/10+C53)</f>
        <v>18515</v>
      </c>
      <c r="D54" s="2">
        <f t="shared" ref="D54:D62" si="57">((D$63-D$53)/10+D53)</f>
        <v>18020.900000000001</v>
      </c>
      <c r="E54" s="2">
        <f t="shared" ref="E54:E62" si="58">((E$63-E$53)/10+E53)</f>
        <v>17525</v>
      </c>
      <c r="F54" s="2">
        <f t="shared" ref="F54:F62" si="59">((F$63-F$53)/10+F53)</f>
        <v>17030</v>
      </c>
      <c r="G54" s="2">
        <f t="shared" ref="G54:G62" si="60">((G$63-G$53)/10+G53)</f>
        <v>16535</v>
      </c>
      <c r="H54" s="2">
        <f t="shared" ref="H54:H62" si="61">((H$63-H$53)/10+H53)</f>
        <v>16040</v>
      </c>
      <c r="I54" s="2">
        <f t="shared" ref="I54:I62" si="62">((I$63-I$53)/10+I53)</f>
        <v>15545</v>
      </c>
      <c r="J54" s="2">
        <f t="shared" ref="J54:J62" si="63">((J$63-J$53)/10+J53)</f>
        <v>15050</v>
      </c>
      <c r="K54" s="2">
        <f t="shared" ref="K54:K62" si="64">((K$63-K$53)/10+K53)</f>
        <v>14555</v>
      </c>
      <c r="L54" s="2">
        <f t="shared" ref="L54:L62" si="65">((L$63-L$53)/10+L53)</f>
        <v>14060</v>
      </c>
    </row>
    <row r="55" spans="1:12" x14ac:dyDescent="0.25">
      <c r="A55" s="5">
        <v>520</v>
      </c>
      <c r="B55" s="2">
        <f t="shared" si="55"/>
        <v>19284</v>
      </c>
      <c r="C55" s="2">
        <f t="shared" si="56"/>
        <v>18789</v>
      </c>
      <c r="D55" s="2">
        <f t="shared" si="57"/>
        <v>18294.800000000003</v>
      </c>
      <c r="E55" s="2">
        <f t="shared" si="58"/>
        <v>17799</v>
      </c>
      <c r="F55" s="2">
        <f t="shared" si="59"/>
        <v>17304</v>
      </c>
      <c r="G55" s="2">
        <f t="shared" si="60"/>
        <v>16809</v>
      </c>
      <c r="H55" s="2">
        <f t="shared" si="61"/>
        <v>16314</v>
      </c>
      <c r="I55" s="2">
        <f t="shared" si="62"/>
        <v>15819</v>
      </c>
      <c r="J55" s="2">
        <f t="shared" si="63"/>
        <v>15324</v>
      </c>
      <c r="K55" s="2">
        <f t="shared" si="64"/>
        <v>14829</v>
      </c>
      <c r="L55" s="2">
        <f t="shared" si="65"/>
        <v>14334</v>
      </c>
    </row>
    <row r="56" spans="1:12" x14ac:dyDescent="0.25">
      <c r="A56" s="5">
        <v>530</v>
      </c>
      <c r="B56" s="2">
        <f t="shared" si="55"/>
        <v>19558</v>
      </c>
      <c r="C56" s="2">
        <f t="shared" si="56"/>
        <v>19063</v>
      </c>
      <c r="D56" s="2">
        <f t="shared" si="57"/>
        <v>18568.700000000004</v>
      </c>
      <c r="E56" s="2">
        <f t="shared" si="58"/>
        <v>18073</v>
      </c>
      <c r="F56" s="2">
        <f t="shared" si="59"/>
        <v>17578</v>
      </c>
      <c r="G56" s="2">
        <f t="shared" si="60"/>
        <v>17083</v>
      </c>
      <c r="H56" s="2">
        <f t="shared" si="61"/>
        <v>16588</v>
      </c>
      <c r="I56" s="2">
        <f t="shared" si="62"/>
        <v>16093</v>
      </c>
      <c r="J56" s="2">
        <f t="shared" si="63"/>
        <v>15598</v>
      </c>
      <c r="K56" s="2">
        <f t="shared" si="64"/>
        <v>15103</v>
      </c>
      <c r="L56" s="2">
        <f t="shared" si="65"/>
        <v>14608</v>
      </c>
    </row>
    <row r="57" spans="1:12" x14ac:dyDescent="0.25">
      <c r="A57" s="5">
        <v>540</v>
      </c>
      <c r="B57" s="2">
        <f t="shared" si="55"/>
        <v>19832</v>
      </c>
      <c r="C57" s="2">
        <f t="shared" si="56"/>
        <v>19337</v>
      </c>
      <c r="D57" s="2">
        <f t="shared" si="57"/>
        <v>18842.600000000006</v>
      </c>
      <c r="E57" s="2">
        <f t="shared" si="58"/>
        <v>18347</v>
      </c>
      <c r="F57" s="2">
        <f t="shared" si="59"/>
        <v>17852</v>
      </c>
      <c r="G57" s="2">
        <f t="shared" si="60"/>
        <v>17357</v>
      </c>
      <c r="H57" s="2">
        <f t="shared" si="61"/>
        <v>16862</v>
      </c>
      <c r="I57" s="2">
        <f t="shared" si="62"/>
        <v>16367</v>
      </c>
      <c r="J57" s="2">
        <f t="shared" si="63"/>
        <v>15872</v>
      </c>
      <c r="K57" s="2">
        <f t="shared" si="64"/>
        <v>15377</v>
      </c>
      <c r="L57" s="2">
        <f t="shared" si="65"/>
        <v>14882</v>
      </c>
    </row>
    <row r="58" spans="1:12" x14ac:dyDescent="0.25">
      <c r="A58" s="5">
        <v>550</v>
      </c>
      <c r="B58" s="2">
        <f t="shared" si="55"/>
        <v>20106</v>
      </c>
      <c r="C58" s="2">
        <f t="shared" si="56"/>
        <v>19611</v>
      </c>
      <c r="D58" s="2">
        <f t="shared" si="57"/>
        <v>19116.500000000007</v>
      </c>
      <c r="E58" s="2">
        <f t="shared" si="58"/>
        <v>18621</v>
      </c>
      <c r="F58" s="2">
        <f t="shared" si="59"/>
        <v>18126</v>
      </c>
      <c r="G58" s="2">
        <f t="shared" si="60"/>
        <v>17631</v>
      </c>
      <c r="H58" s="2">
        <f t="shared" si="61"/>
        <v>17136</v>
      </c>
      <c r="I58" s="2">
        <f t="shared" si="62"/>
        <v>16641</v>
      </c>
      <c r="J58" s="2">
        <f t="shared" si="63"/>
        <v>16146</v>
      </c>
      <c r="K58" s="2">
        <f t="shared" si="64"/>
        <v>15651</v>
      </c>
      <c r="L58" s="2">
        <f t="shared" si="65"/>
        <v>15156</v>
      </c>
    </row>
    <row r="59" spans="1:12" x14ac:dyDescent="0.25">
      <c r="A59" s="5">
        <v>560</v>
      </c>
      <c r="B59" s="2">
        <f t="shared" si="55"/>
        <v>20380</v>
      </c>
      <c r="C59" s="2">
        <f t="shared" si="56"/>
        <v>19885</v>
      </c>
      <c r="D59" s="2">
        <f t="shared" si="57"/>
        <v>19390.400000000009</v>
      </c>
      <c r="E59" s="2">
        <f t="shared" si="58"/>
        <v>18895</v>
      </c>
      <c r="F59" s="2">
        <f t="shared" si="59"/>
        <v>18400</v>
      </c>
      <c r="G59" s="2">
        <f t="shared" si="60"/>
        <v>17905</v>
      </c>
      <c r="H59" s="2">
        <f t="shared" si="61"/>
        <v>17410</v>
      </c>
      <c r="I59" s="2">
        <f t="shared" si="62"/>
        <v>16915</v>
      </c>
      <c r="J59" s="2">
        <f t="shared" si="63"/>
        <v>16420</v>
      </c>
      <c r="K59" s="2">
        <f t="shared" si="64"/>
        <v>15925</v>
      </c>
      <c r="L59" s="2">
        <f t="shared" si="65"/>
        <v>15430</v>
      </c>
    </row>
    <row r="60" spans="1:12" x14ac:dyDescent="0.25">
      <c r="A60" s="5">
        <v>570</v>
      </c>
      <c r="B60" s="2">
        <f t="shared" si="55"/>
        <v>20654</v>
      </c>
      <c r="C60" s="2">
        <f t="shared" si="56"/>
        <v>20159</v>
      </c>
      <c r="D60" s="2">
        <f t="shared" si="57"/>
        <v>19664.30000000001</v>
      </c>
      <c r="E60" s="2">
        <f t="shared" si="58"/>
        <v>19169</v>
      </c>
      <c r="F60" s="2">
        <f t="shared" si="59"/>
        <v>18674</v>
      </c>
      <c r="G60" s="2">
        <f t="shared" si="60"/>
        <v>18179</v>
      </c>
      <c r="H60" s="2">
        <f t="shared" si="61"/>
        <v>17684</v>
      </c>
      <c r="I60" s="2">
        <f t="shared" si="62"/>
        <v>17189</v>
      </c>
      <c r="J60" s="2">
        <f t="shared" si="63"/>
        <v>16694</v>
      </c>
      <c r="K60" s="2">
        <f t="shared" si="64"/>
        <v>16199</v>
      </c>
      <c r="L60" s="2">
        <f t="shared" si="65"/>
        <v>15704</v>
      </c>
    </row>
    <row r="61" spans="1:12" x14ac:dyDescent="0.25">
      <c r="A61" s="5">
        <v>580</v>
      </c>
      <c r="B61" s="2">
        <f t="shared" si="55"/>
        <v>20928</v>
      </c>
      <c r="C61" s="2">
        <f t="shared" si="56"/>
        <v>20433</v>
      </c>
      <c r="D61" s="2">
        <f t="shared" si="57"/>
        <v>19938.200000000012</v>
      </c>
      <c r="E61" s="2">
        <f t="shared" si="58"/>
        <v>19443</v>
      </c>
      <c r="F61" s="2">
        <f t="shared" si="59"/>
        <v>18948</v>
      </c>
      <c r="G61" s="2">
        <f t="shared" si="60"/>
        <v>18453</v>
      </c>
      <c r="H61" s="2">
        <f t="shared" si="61"/>
        <v>17958</v>
      </c>
      <c r="I61" s="2">
        <f t="shared" si="62"/>
        <v>17463</v>
      </c>
      <c r="J61" s="2">
        <f t="shared" si="63"/>
        <v>16968</v>
      </c>
      <c r="K61" s="2">
        <f t="shared" si="64"/>
        <v>16473</v>
      </c>
      <c r="L61" s="2">
        <f t="shared" si="65"/>
        <v>15978</v>
      </c>
    </row>
    <row r="62" spans="1:12" x14ac:dyDescent="0.25">
      <c r="A62" s="5">
        <v>590</v>
      </c>
      <c r="B62" s="2">
        <f t="shared" si="55"/>
        <v>21202</v>
      </c>
      <c r="C62" s="2">
        <f t="shared" si="56"/>
        <v>20707</v>
      </c>
      <c r="D62" s="2">
        <f t="shared" si="57"/>
        <v>20212.100000000013</v>
      </c>
      <c r="E62" s="2">
        <f t="shared" si="58"/>
        <v>19717</v>
      </c>
      <c r="F62" s="2">
        <f t="shared" si="59"/>
        <v>19222</v>
      </c>
      <c r="G62" s="2">
        <f t="shared" si="60"/>
        <v>18727</v>
      </c>
      <c r="H62" s="2">
        <f t="shared" si="61"/>
        <v>18232</v>
      </c>
      <c r="I62" s="2">
        <f t="shared" si="62"/>
        <v>17737</v>
      </c>
      <c r="J62" s="2">
        <f t="shared" si="63"/>
        <v>17242</v>
      </c>
      <c r="K62" s="2">
        <f t="shared" si="64"/>
        <v>16747</v>
      </c>
      <c r="L62" s="2">
        <f t="shared" si="65"/>
        <v>16252</v>
      </c>
    </row>
    <row r="63" spans="1:12" x14ac:dyDescent="0.25">
      <c r="A63" s="5">
        <v>600</v>
      </c>
      <c r="B63" s="4">
        <v>21476</v>
      </c>
      <c r="C63" s="4">
        <v>20981</v>
      </c>
      <c r="D63" s="4">
        <v>20486</v>
      </c>
      <c r="E63" s="4">
        <v>19991</v>
      </c>
      <c r="F63" s="4">
        <v>19496</v>
      </c>
      <c r="G63" s="4">
        <v>19001</v>
      </c>
      <c r="H63" s="4">
        <v>18506</v>
      </c>
      <c r="I63" s="4">
        <v>18011</v>
      </c>
      <c r="J63" s="4">
        <v>17516</v>
      </c>
      <c r="K63" s="4">
        <v>17021</v>
      </c>
      <c r="L63" s="4">
        <v>16526</v>
      </c>
    </row>
    <row r="64" spans="1:12" x14ac:dyDescent="0.25">
      <c r="A64" s="5">
        <v>610</v>
      </c>
      <c r="B64" s="2">
        <f t="shared" ref="B64:B72" si="66">((B$73-B$63))/10+B63</f>
        <v>21750</v>
      </c>
      <c r="C64" s="2">
        <f t="shared" ref="C64:C72" si="67">((C$73-C$63))/10+C63</f>
        <v>21255</v>
      </c>
      <c r="D64" s="2">
        <f t="shared" ref="D64:D72" si="68">((D$73-D$63))/10+D63</f>
        <v>20760</v>
      </c>
      <c r="E64" s="2">
        <f t="shared" ref="E64:E72" si="69">((E$73-E$63))/10+E63</f>
        <v>20265</v>
      </c>
      <c r="F64" s="2">
        <f t="shared" ref="F64:F72" si="70">((F$73-F$63))/10+F63</f>
        <v>19770</v>
      </c>
      <c r="G64" s="2">
        <f t="shared" ref="G64:G72" si="71">((G$73-G$63))/10+G63</f>
        <v>19275</v>
      </c>
      <c r="H64" s="2">
        <f t="shared" ref="H64:H72" si="72">((H$73-H$63))/10+H63</f>
        <v>18780</v>
      </c>
      <c r="I64" s="2">
        <f t="shared" ref="I64:I72" si="73">((I$73-I$63))/10+I63</f>
        <v>18285</v>
      </c>
      <c r="J64" s="2">
        <f t="shared" ref="J64:J72" si="74">((J$73-J$63))/10+J63</f>
        <v>17790</v>
      </c>
      <c r="K64" s="2">
        <f t="shared" ref="K64:K72" si="75">((K$73-K$63))/10+K63</f>
        <v>17295</v>
      </c>
      <c r="L64" s="2">
        <f t="shared" ref="L64:L72" si="76">((L$73-L$63))/10+L63</f>
        <v>16800</v>
      </c>
    </row>
    <row r="65" spans="1:12" x14ac:dyDescent="0.25">
      <c r="A65" s="5">
        <v>620</v>
      </c>
      <c r="B65" s="2">
        <f t="shared" si="66"/>
        <v>22024</v>
      </c>
      <c r="C65" s="2">
        <f t="shared" si="67"/>
        <v>21529</v>
      </c>
      <c r="D65" s="2">
        <f t="shared" si="68"/>
        <v>21034</v>
      </c>
      <c r="E65" s="2">
        <f t="shared" si="69"/>
        <v>20539</v>
      </c>
      <c r="F65" s="2">
        <f t="shared" si="70"/>
        <v>20044</v>
      </c>
      <c r="G65" s="2">
        <f t="shared" si="71"/>
        <v>19549</v>
      </c>
      <c r="H65" s="2">
        <f t="shared" si="72"/>
        <v>19054</v>
      </c>
      <c r="I65" s="2">
        <f t="shared" si="73"/>
        <v>18559</v>
      </c>
      <c r="J65" s="2">
        <f t="shared" si="74"/>
        <v>18064</v>
      </c>
      <c r="K65" s="2">
        <f t="shared" si="75"/>
        <v>17569</v>
      </c>
      <c r="L65" s="2">
        <f t="shared" si="76"/>
        <v>17074</v>
      </c>
    </row>
    <row r="66" spans="1:12" x14ac:dyDescent="0.25">
      <c r="A66" s="5">
        <v>630</v>
      </c>
      <c r="B66" s="2">
        <f t="shared" si="66"/>
        <v>22298</v>
      </c>
      <c r="C66" s="2">
        <f t="shared" si="67"/>
        <v>21803</v>
      </c>
      <c r="D66" s="2">
        <f t="shared" si="68"/>
        <v>21308</v>
      </c>
      <c r="E66" s="2">
        <f t="shared" si="69"/>
        <v>20813</v>
      </c>
      <c r="F66" s="2">
        <f t="shared" si="70"/>
        <v>20318</v>
      </c>
      <c r="G66" s="2">
        <f t="shared" si="71"/>
        <v>19823</v>
      </c>
      <c r="H66" s="2">
        <f t="shared" si="72"/>
        <v>19328</v>
      </c>
      <c r="I66" s="2">
        <f t="shared" si="73"/>
        <v>18833</v>
      </c>
      <c r="J66" s="2">
        <f t="shared" si="74"/>
        <v>18338</v>
      </c>
      <c r="K66" s="2">
        <f t="shared" si="75"/>
        <v>17843</v>
      </c>
      <c r="L66" s="2">
        <f t="shared" si="76"/>
        <v>17348</v>
      </c>
    </row>
    <row r="67" spans="1:12" x14ac:dyDescent="0.25">
      <c r="A67" s="5">
        <v>640</v>
      </c>
      <c r="B67" s="2">
        <f t="shared" si="66"/>
        <v>22572</v>
      </c>
      <c r="C67" s="2">
        <f t="shared" si="67"/>
        <v>22077</v>
      </c>
      <c r="D67" s="2">
        <f t="shared" si="68"/>
        <v>21582</v>
      </c>
      <c r="E67" s="2">
        <f t="shared" si="69"/>
        <v>21087</v>
      </c>
      <c r="F67" s="2">
        <f t="shared" si="70"/>
        <v>20592</v>
      </c>
      <c r="G67" s="2">
        <f t="shared" si="71"/>
        <v>20097</v>
      </c>
      <c r="H67" s="2">
        <f t="shared" si="72"/>
        <v>19602</v>
      </c>
      <c r="I67" s="2">
        <f t="shared" si="73"/>
        <v>19107</v>
      </c>
      <c r="J67" s="2">
        <f t="shared" si="74"/>
        <v>18612</v>
      </c>
      <c r="K67" s="2">
        <f t="shared" si="75"/>
        <v>18117</v>
      </c>
      <c r="L67" s="2">
        <f t="shared" si="76"/>
        <v>17622</v>
      </c>
    </row>
    <row r="68" spans="1:12" x14ac:dyDescent="0.25">
      <c r="A68" s="5">
        <v>650</v>
      </c>
      <c r="B68" s="2">
        <f t="shared" si="66"/>
        <v>22846</v>
      </c>
      <c r="C68" s="2">
        <f t="shared" si="67"/>
        <v>22351</v>
      </c>
      <c r="D68" s="2">
        <f t="shared" si="68"/>
        <v>21856</v>
      </c>
      <c r="E68" s="2">
        <f t="shared" si="69"/>
        <v>21361</v>
      </c>
      <c r="F68" s="2">
        <f t="shared" si="70"/>
        <v>20866</v>
      </c>
      <c r="G68" s="2">
        <f t="shared" si="71"/>
        <v>20371</v>
      </c>
      <c r="H68" s="2">
        <f t="shared" si="72"/>
        <v>19876</v>
      </c>
      <c r="I68" s="2">
        <f t="shared" si="73"/>
        <v>19381</v>
      </c>
      <c r="J68" s="2">
        <f t="shared" si="74"/>
        <v>18886</v>
      </c>
      <c r="K68" s="2">
        <f t="shared" si="75"/>
        <v>18391</v>
      </c>
      <c r="L68" s="2">
        <f t="shared" si="76"/>
        <v>17896</v>
      </c>
    </row>
    <row r="69" spans="1:12" x14ac:dyDescent="0.25">
      <c r="A69" s="5">
        <v>660</v>
      </c>
      <c r="B69" s="2">
        <f t="shared" si="66"/>
        <v>23120</v>
      </c>
      <c r="C69" s="2">
        <f t="shared" si="67"/>
        <v>22625</v>
      </c>
      <c r="D69" s="2">
        <f t="shared" si="68"/>
        <v>22130</v>
      </c>
      <c r="E69" s="2">
        <f t="shared" si="69"/>
        <v>21635</v>
      </c>
      <c r="F69" s="2">
        <f t="shared" si="70"/>
        <v>21140</v>
      </c>
      <c r="G69" s="2">
        <f t="shared" si="71"/>
        <v>20645</v>
      </c>
      <c r="H69" s="2">
        <f t="shared" si="72"/>
        <v>20150</v>
      </c>
      <c r="I69" s="2">
        <f t="shared" si="73"/>
        <v>19655</v>
      </c>
      <c r="J69" s="2">
        <f t="shared" si="74"/>
        <v>19160</v>
      </c>
      <c r="K69" s="2">
        <f t="shared" si="75"/>
        <v>18665</v>
      </c>
      <c r="L69" s="2">
        <f t="shared" si="76"/>
        <v>18170</v>
      </c>
    </row>
    <row r="70" spans="1:12" x14ac:dyDescent="0.25">
      <c r="A70" s="5">
        <v>670</v>
      </c>
      <c r="B70" s="2">
        <f t="shared" si="66"/>
        <v>23394</v>
      </c>
      <c r="C70" s="2">
        <f t="shared" si="67"/>
        <v>22899</v>
      </c>
      <c r="D70" s="2">
        <f t="shared" si="68"/>
        <v>22404</v>
      </c>
      <c r="E70" s="2">
        <f t="shared" si="69"/>
        <v>21909</v>
      </c>
      <c r="F70" s="2">
        <f t="shared" si="70"/>
        <v>21414</v>
      </c>
      <c r="G70" s="2">
        <f t="shared" si="71"/>
        <v>20919</v>
      </c>
      <c r="H70" s="2">
        <f t="shared" si="72"/>
        <v>20424</v>
      </c>
      <c r="I70" s="2">
        <f t="shared" si="73"/>
        <v>19929</v>
      </c>
      <c r="J70" s="2">
        <f t="shared" si="74"/>
        <v>19434</v>
      </c>
      <c r="K70" s="2">
        <f t="shared" si="75"/>
        <v>18939</v>
      </c>
      <c r="L70" s="2">
        <f t="shared" si="76"/>
        <v>18444</v>
      </c>
    </row>
    <row r="71" spans="1:12" x14ac:dyDescent="0.25">
      <c r="A71" s="5">
        <v>680</v>
      </c>
      <c r="B71" s="2">
        <f t="shared" si="66"/>
        <v>23668</v>
      </c>
      <c r="C71" s="2">
        <f t="shared" si="67"/>
        <v>23173</v>
      </c>
      <c r="D71" s="2">
        <f t="shared" si="68"/>
        <v>22678</v>
      </c>
      <c r="E71" s="2">
        <f t="shared" si="69"/>
        <v>22183</v>
      </c>
      <c r="F71" s="2">
        <f t="shared" si="70"/>
        <v>21688</v>
      </c>
      <c r="G71" s="2">
        <f t="shared" si="71"/>
        <v>21193</v>
      </c>
      <c r="H71" s="2">
        <f t="shared" si="72"/>
        <v>20698</v>
      </c>
      <c r="I71" s="2">
        <f t="shared" si="73"/>
        <v>20203</v>
      </c>
      <c r="J71" s="2">
        <f t="shared" si="74"/>
        <v>19708</v>
      </c>
      <c r="K71" s="2">
        <f t="shared" si="75"/>
        <v>19213</v>
      </c>
      <c r="L71" s="2">
        <f t="shared" si="76"/>
        <v>18718</v>
      </c>
    </row>
    <row r="72" spans="1:12" x14ac:dyDescent="0.25">
      <c r="A72" s="5">
        <v>690</v>
      </c>
      <c r="B72" s="2">
        <f t="shared" si="66"/>
        <v>23942</v>
      </c>
      <c r="C72" s="2">
        <f t="shared" si="67"/>
        <v>23447</v>
      </c>
      <c r="D72" s="2">
        <f t="shared" si="68"/>
        <v>22952</v>
      </c>
      <c r="E72" s="2">
        <f t="shared" si="69"/>
        <v>22457</v>
      </c>
      <c r="F72" s="2">
        <f t="shared" si="70"/>
        <v>21962</v>
      </c>
      <c r="G72" s="2">
        <f t="shared" si="71"/>
        <v>21467</v>
      </c>
      <c r="H72" s="2">
        <f t="shared" si="72"/>
        <v>20972</v>
      </c>
      <c r="I72" s="2">
        <f t="shared" si="73"/>
        <v>20477</v>
      </c>
      <c r="J72" s="2">
        <f t="shared" si="74"/>
        <v>19982</v>
      </c>
      <c r="K72" s="2">
        <f t="shared" si="75"/>
        <v>19487</v>
      </c>
      <c r="L72" s="2">
        <f t="shared" si="76"/>
        <v>18992</v>
      </c>
    </row>
    <row r="73" spans="1:12" x14ac:dyDescent="0.25">
      <c r="A73" s="5">
        <v>700</v>
      </c>
      <c r="B73" s="4">
        <v>24216</v>
      </c>
      <c r="C73" s="4">
        <v>23721</v>
      </c>
      <c r="D73" s="4">
        <v>23226</v>
      </c>
      <c r="E73" s="4">
        <v>22731</v>
      </c>
      <c r="F73" s="4">
        <v>22236</v>
      </c>
      <c r="G73" s="4">
        <v>21741</v>
      </c>
      <c r="H73" s="4">
        <v>21246</v>
      </c>
      <c r="I73" s="4">
        <v>20751</v>
      </c>
      <c r="J73" s="4">
        <v>20256</v>
      </c>
      <c r="K73" s="4">
        <v>19761</v>
      </c>
      <c r="L73" s="4">
        <v>19266</v>
      </c>
    </row>
    <row r="74" spans="1:12" x14ac:dyDescent="0.25">
      <c r="A74" s="5">
        <v>710</v>
      </c>
      <c r="B74" s="2">
        <f t="shared" ref="B74:B82" si="77">((B$83-B$73)/10+B73)</f>
        <v>24490</v>
      </c>
      <c r="C74" s="2">
        <f t="shared" ref="C74:C82" si="78">((C$83-C$73)/10+C73)</f>
        <v>23995</v>
      </c>
      <c r="D74" s="2">
        <f t="shared" ref="D74:D82" si="79">((D$83-D$73)/10+D73)</f>
        <v>23500</v>
      </c>
      <c r="E74" s="2">
        <f t="shared" ref="E74:E82" si="80">((E$83-E$73)/10+E73)</f>
        <v>23005</v>
      </c>
      <c r="F74" s="2">
        <f t="shared" ref="F74:F82" si="81">((F$83-F$73)/10+F73)</f>
        <v>22510</v>
      </c>
      <c r="G74" s="2">
        <f t="shared" ref="G74:G82" si="82">((G$83-G$73)/10+G73)</f>
        <v>22015</v>
      </c>
      <c r="H74" s="2">
        <f t="shared" ref="H74:H82" si="83">((H$83-H$73)/10+H73)</f>
        <v>21520</v>
      </c>
      <c r="I74" s="2">
        <f t="shared" ref="I74:I82" si="84">((I$83-I$73)/10+I73)</f>
        <v>21025</v>
      </c>
      <c r="J74" s="2">
        <f t="shared" ref="J74:J82" si="85">((J$83-J$73)/10+J73)</f>
        <v>20530</v>
      </c>
      <c r="K74" s="2">
        <f t="shared" ref="K74:K82" si="86">((K$83-K$73)/10+K73)</f>
        <v>20035</v>
      </c>
      <c r="L74" s="2">
        <f t="shared" ref="L74:L82" si="87">((L$83-L$73)/10+L73)</f>
        <v>19540</v>
      </c>
    </row>
    <row r="75" spans="1:12" x14ac:dyDescent="0.25">
      <c r="A75" s="5">
        <v>720</v>
      </c>
      <c r="B75" s="2">
        <f t="shared" si="77"/>
        <v>24764</v>
      </c>
      <c r="C75" s="2">
        <f t="shared" si="78"/>
        <v>24269</v>
      </c>
      <c r="D75" s="2">
        <f t="shared" si="79"/>
        <v>23774</v>
      </c>
      <c r="E75" s="2">
        <f t="shared" si="80"/>
        <v>23279</v>
      </c>
      <c r="F75" s="2">
        <f t="shared" si="81"/>
        <v>22784</v>
      </c>
      <c r="G75" s="2">
        <f t="shared" si="82"/>
        <v>22289</v>
      </c>
      <c r="H75" s="2">
        <f t="shared" si="83"/>
        <v>21794</v>
      </c>
      <c r="I75" s="2">
        <f t="shared" si="84"/>
        <v>21299</v>
      </c>
      <c r="J75" s="2">
        <f t="shared" si="85"/>
        <v>20804</v>
      </c>
      <c r="K75" s="2">
        <f t="shared" si="86"/>
        <v>20309</v>
      </c>
      <c r="L75" s="2">
        <f t="shared" si="87"/>
        <v>19814</v>
      </c>
    </row>
    <row r="76" spans="1:12" x14ac:dyDescent="0.25">
      <c r="A76" s="5">
        <v>730</v>
      </c>
      <c r="B76" s="2">
        <f t="shared" si="77"/>
        <v>25038</v>
      </c>
      <c r="C76" s="2">
        <f t="shared" si="78"/>
        <v>24543</v>
      </c>
      <c r="D76" s="2">
        <f t="shared" si="79"/>
        <v>24048</v>
      </c>
      <c r="E76" s="2">
        <f t="shared" si="80"/>
        <v>23553</v>
      </c>
      <c r="F76" s="2">
        <f t="shared" si="81"/>
        <v>23058</v>
      </c>
      <c r="G76" s="2">
        <f t="shared" si="82"/>
        <v>22563</v>
      </c>
      <c r="H76" s="2">
        <f t="shared" si="83"/>
        <v>22068</v>
      </c>
      <c r="I76" s="2">
        <f t="shared" si="84"/>
        <v>21573</v>
      </c>
      <c r="J76" s="2">
        <f t="shared" si="85"/>
        <v>21078</v>
      </c>
      <c r="K76" s="2">
        <f t="shared" si="86"/>
        <v>20583</v>
      </c>
      <c r="L76" s="2">
        <f t="shared" si="87"/>
        <v>20088</v>
      </c>
    </row>
    <row r="77" spans="1:12" x14ac:dyDescent="0.25">
      <c r="A77" s="5">
        <v>740</v>
      </c>
      <c r="B77" s="2">
        <f t="shared" si="77"/>
        <v>25312</v>
      </c>
      <c r="C77" s="2">
        <f t="shared" si="78"/>
        <v>24817</v>
      </c>
      <c r="D77" s="2">
        <f t="shared" si="79"/>
        <v>24322</v>
      </c>
      <c r="E77" s="2">
        <f t="shared" si="80"/>
        <v>23827</v>
      </c>
      <c r="F77" s="2">
        <f t="shared" si="81"/>
        <v>23332</v>
      </c>
      <c r="G77" s="2">
        <f t="shared" si="82"/>
        <v>22837</v>
      </c>
      <c r="H77" s="2">
        <f t="shared" si="83"/>
        <v>22342</v>
      </c>
      <c r="I77" s="2">
        <f t="shared" si="84"/>
        <v>21847</v>
      </c>
      <c r="J77" s="2">
        <f t="shared" si="85"/>
        <v>21352</v>
      </c>
      <c r="K77" s="2">
        <f t="shared" si="86"/>
        <v>20857</v>
      </c>
      <c r="L77" s="2">
        <f t="shared" si="87"/>
        <v>20362</v>
      </c>
    </row>
    <row r="78" spans="1:12" x14ac:dyDescent="0.25">
      <c r="A78" s="5">
        <v>750</v>
      </c>
      <c r="B78" s="2">
        <f t="shared" si="77"/>
        <v>25586</v>
      </c>
      <c r="C78" s="2">
        <f t="shared" si="78"/>
        <v>25091</v>
      </c>
      <c r="D78" s="2">
        <f t="shared" si="79"/>
        <v>24596</v>
      </c>
      <c r="E78" s="2">
        <f t="shared" si="80"/>
        <v>24101</v>
      </c>
      <c r="F78" s="2">
        <f t="shared" si="81"/>
        <v>23606</v>
      </c>
      <c r="G78" s="2">
        <f t="shared" si="82"/>
        <v>23111</v>
      </c>
      <c r="H78" s="2">
        <f t="shared" si="83"/>
        <v>22616</v>
      </c>
      <c r="I78" s="2">
        <f t="shared" si="84"/>
        <v>22121</v>
      </c>
      <c r="J78" s="2">
        <f t="shared" si="85"/>
        <v>21626</v>
      </c>
      <c r="K78" s="2">
        <f t="shared" si="86"/>
        <v>21131</v>
      </c>
      <c r="L78" s="2">
        <f t="shared" si="87"/>
        <v>20636</v>
      </c>
    </row>
    <row r="79" spans="1:12" x14ac:dyDescent="0.25">
      <c r="A79" s="5">
        <v>760</v>
      </c>
      <c r="B79" s="2">
        <f t="shared" si="77"/>
        <v>25860</v>
      </c>
      <c r="C79" s="2">
        <f t="shared" si="78"/>
        <v>25365</v>
      </c>
      <c r="D79" s="2">
        <f t="shared" si="79"/>
        <v>24870</v>
      </c>
      <c r="E79" s="2">
        <f t="shared" si="80"/>
        <v>24375</v>
      </c>
      <c r="F79" s="2">
        <f t="shared" si="81"/>
        <v>23880</v>
      </c>
      <c r="G79" s="2">
        <f t="shared" si="82"/>
        <v>23385</v>
      </c>
      <c r="H79" s="2">
        <f t="shared" si="83"/>
        <v>22890</v>
      </c>
      <c r="I79" s="2">
        <f t="shared" si="84"/>
        <v>22395</v>
      </c>
      <c r="J79" s="2">
        <f t="shared" si="85"/>
        <v>21900</v>
      </c>
      <c r="K79" s="2">
        <f t="shared" si="86"/>
        <v>21405</v>
      </c>
      <c r="L79" s="2">
        <f t="shared" si="87"/>
        <v>20910</v>
      </c>
    </row>
    <row r="80" spans="1:12" x14ac:dyDescent="0.25">
      <c r="A80" s="5">
        <v>770</v>
      </c>
      <c r="B80" s="2">
        <f t="shared" si="77"/>
        <v>26134</v>
      </c>
      <c r="C80" s="2">
        <f t="shared" si="78"/>
        <v>25639</v>
      </c>
      <c r="D80" s="2">
        <f t="shared" si="79"/>
        <v>25144</v>
      </c>
      <c r="E80" s="2">
        <f t="shared" si="80"/>
        <v>24649</v>
      </c>
      <c r="F80" s="2">
        <f t="shared" si="81"/>
        <v>24154</v>
      </c>
      <c r="G80" s="2">
        <f t="shared" si="82"/>
        <v>23659</v>
      </c>
      <c r="H80" s="2">
        <f t="shared" si="83"/>
        <v>23164</v>
      </c>
      <c r="I80" s="2">
        <f t="shared" si="84"/>
        <v>22669</v>
      </c>
      <c r="J80" s="2">
        <f t="shared" si="85"/>
        <v>22174</v>
      </c>
      <c r="K80" s="2">
        <f t="shared" si="86"/>
        <v>21679</v>
      </c>
      <c r="L80" s="2">
        <f t="shared" si="87"/>
        <v>21184</v>
      </c>
    </row>
    <row r="81" spans="1:12" x14ac:dyDescent="0.25">
      <c r="A81" s="5">
        <v>780</v>
      </c>
      <c r="B81" s="2">
        <f t="shared" si="77"/>
        <v>26408</v>
      </c>
      <c r="C81" s="2">
        <f t="shared" si="78"/>
        <v>25913</v>
      </c>
      <c r="D81" s="2">
        <f t="shared" si="79"/>
        <v>25418</v>
      </c>
      <c r="E81" s="2">
        <f t="shared" si="80"/>
        <v>24923</v>
      </c>
      <c r="F81" s="2">
        <f t="shared" si="81"/>
        <v>24428</v>
      </c>
      <c r="G81" s="2">
        <f t="shared" si="82"/>
        <v>23933</v>
      </c>
      <c r="H81" s="2">
        <f t="shared" si="83"/>
        <v>23438</v>
      </c>
      <c r="I81" s="2">
        <f t="shared" si="84"/>
        <v>22943</v>
      </c>
      <c r="J81" s="2">
        <f t="shared" si="85"/>
        <v>22448</v>
      </c>
      <c r="K81" s="2">
        <f t="shared" si="86"/>
        <v>21953</v>
      </c>
      <c r="L81" s="2">
        <f t="shared" si="87"/>
        <v>21458</v>
      </c>
    </row>
    <row r="82" spans="1:12" x14ac:dyDescent="0.25">
      <c r="A82" s="5">
        <v>790</v>
      </c>
      <c r="B82" s="2">
        <f t="shared" si="77"/>
        <v>26682</v>
      </c>
      <c r="C82" s="2">
        <f t="shared" si="78"/>
        <v>26187</v>
      </c>
      <c r="D82" s="2">
        <f t="shared" si="79"/>
        <v>25692</v>
      </c>
      <c r="E82" s="2">
        <f t="shared" si="80"/>
        <v>25197</v>
      </c>
      <c r="F82" s="2">
        <f t="shared" si="81"/>
        <v>24702</v>
      </c>
      <c r="G82" s="2">
        <f t="shared" si="82"/>
        <v>24207</v>
      </c>
      <c r="H82" s="2">
        <f t="shared" si="83"/>
        <v>23712</v>
      </c>
      <c r="I82" s="2">
        <f t="shared" si="84"/>
        <v>23217</v>
      </c>
      <c r="J82" s="2">
        <f t="shared" si="85"/>
        <v>22722</v>
      </c>
      <c r="K82" s="2">
        <f t="shared" si="86"/>
        <v>22227</v>
      </c>
      <c r="L82" s="2">
        <f t="shared" si="87"/>
        <v>21732</v>
      </c>
    </row>
    <row r="83" spans="1:12" x14ac:dyDescent="0.25">
      <c r="A83" s="5">
        <v>800</v>
      </c>
      <c r="B83" s="4">
        <v>26956</v>
      </c>
      <c r="C83" s="4">
        <v>26461</v>
      </c>
      <c r="D83" s="4">
        <v>25966</v>
      </c>
      <c r="E83" s="4">
        <v>25471</v>
      </c>
      <c r="F83" s="4">
        <v>24976</v>
      </c>
      <c r="G83" s="4">
        <v>24481</v>
      </c>
      <c r="H83" s="4">
        <v>23986</v>
      </c>
      <c r="I83" s="4">
        <v>23491</v>
      </c>
      <c r="J83" s="4">
        <v>22996</v>
      </c>
      <c r="K83" s="4">
        <v>22501</v>
      </c>
      <c r="L83" s="4">
        <v>22006</v>
      </c>
    </row>
    <row r="84" spans="1:12" x14ac:dyDescent="0.25">
      <c r="A84" s="5">
        <v>810</v>
      </c>
      <c r="B84" s="2">
        <f t="shared" ref="B84:B92" si="88">((B$93-B$83)/10+B83)</f>
        <v>27230</v>
      </c>
      <c r="C84" s="2">
        <f t="shared" ref="C84:C92" si="89">((C$93-C$83)/10+C83)</f>
        <v>26735</v>
      </c>
      <c r="D84" s="2">
        <f t="shared" ref="D84:D92" si="90">((D$93-D$83)/10+D83)</f>
        <v>26240</v>
      </c>
      <c r="E84" s="2">
        <f t="shared" ref="E84:E92" si="91">((E$93-E$83)/10+E83)</f>
        <v>25745</v>
      </c>
      <c r="F84" s="2">
        <f t="shared" ref="F84:F92" si="92">((F$93-F$83)/10+F83)</f>
        <v>25250</v>
      </c>
      <c r="G84" s="2">
        <f t="shared" ref="G84:G92" si="93">((G$93-G$83)/10+G83)</f>
        <v>24755</v>
      </c>
      <c r="H84" s="2">
        <f t="shared" ref="H84:H92" si="94">((H$93-H$83)/10+H83)</f>
        <v>24260</v>
      </c>
      <c r="I84" s="2">
        <f t="shared" ref="I84:I92" si="95">((I$93-I$83)/10+I83)</f>
        <v>23765</v>
      </c>
      <c r="J84" s="2">
        <f t="shared" ref="J84:J92" si="96">((J$93-J$83)/10+J83)</f>
        <v>23270</v>
      </c>
      <c r="K84" s="2">
        <f t="shared" ref="K84:K92" si="97">((K$93-K$83)/10+K83)</f>
        <v>22775</v>
      </c>
      <c r="L84" s="2">
        <f t="shared" ref="L84:L92" si="98">((L$93-L$83)/10+L83)</f>
        <v>22280</v>
      </c>
    </row>
    <row r="85" spans="1:12" x14ac:dyDescent="0.25">
      <c r="A85" s="5">
        <v>820</v>
      </c>
      <c r="B85" s="2">
        <f t="shared" si="88"/>
        <v>27504</v>
      </c>
      <c r="C85" s="2">
        <f t="shared" si="89"/>
        <v>27009</v>
      </c>
      <c r="D85" s="2">
        <f t="shared" si="90"/>
        <v>26514</v>
      </c>
      <c r="E85" s="2">
        <f t="shared" si="91"/>
        <v>26019</v>
      </c>
      <c r="F85" s="2">
        <f t="shared" si="92"/>
        <v>25524</v>
      </c>
      <c r="G85" s="2">
        <f t="shared" si="93"/>
        <v>25029</v>
      </c>
      <c r="H85" s="2">
        <f t="shared" si="94"/>
        <v>24534</v>
      </c>
      <c r="I85" s="2">
        <f t="shared" si="95"/>
        <v>24039</v>
      </c>
      <c r="J85" s="2">
        <f t="shared" si="96"/>
        <v>23544</v>
      </c>
      <c r="K85" s="2">
        <f t="shared" si="97"/>
        <v>23049</v>
      </c>
      <c r="L85" s="2">
        <f t="shared" si="98"/>
        <v>22554</v>
      </c>
    </row>
    <row r="86" spans="1:12" x14ac:dyDescent="0.25">
      <c r="A86" s="5">
        <v>830</v>
      </c>
      <c r="B86" s="2">
        <f t="shared" si="88"/>
        <v>27778</v>
      </c>
      <c r="C86" s="2">
        <f t="shared" si="89"/>
        <v>27283</v>
      </c>
      <c r="D86" s="2">
        <f t="shared" si="90"/>
        <v>26788</v>
      </c>
      <c r="E86" s="2">
        <f t="shared" si="91"/>
        <v>26293</v>
      </c>
      <c r="F86" s="2">
        <f t="shared" si="92"/>
        <v>25798</v>
      </c>
      <c r="G86" s="2">
        <f t="shared" si="93"/>
        <v>25303</v>
      </c>
      <c r="H86" s="2">
        <f t="shared" si="94"/>
        <v>24808</v>
      </c>
      <c r="I86" s="2">
        <f t="shared" si="95"/>
        <v>24313</v>
      </c>
      <c r="J86" s="2">
        <f t="shared" si="96"/>
        <v>23818</v>
      </c>
      <c r="K86" s="2">
        <f t="shared" si="97"/>
        <v>23323</v>
      </c>
      <c r="L86" s="2">
        <f t="shared" si="98"/>
        <v>22828</v>
      </c>
    </row>
    <row r="87" spans="1:12" x14ac:dyDescent="0.25">
      <c r="A87" s="5">
        <v>840</v>
      </c>
      <c r="B87" s="2">
        <f t="shared" si="88"/>
        <v>28052</v>
      </c>
      <c r="C87" s="2">
        <f t="shared" si="89"/>
        <v>27557</v>
      </c>
      <c r="D87" s="2">
        <f t="shared" si="90"/>
        <v>27062</v>
      </c>
      <c r="E87" s="2">
        <f t="shared" si="91"/>
        <v>26567</v>
      </c>
      <c r="F87" s="2">
        <f t="shared" si="92"/>
        <v>26072</v>
      </c>
      <c r="G87" s="2">
        <f t="shared" si="93"/>
        <v>25577</v>
      </c>
      <c r="H87" s="2">
        <f t="shared" si="94"/>
        <v>25082</v>
      </c>
      <c r="I87" s="2">
        <f t="shared" si="95"/>
        <v>24587</v>
      </c>
      <c r="J87" s="2">
        <f t="shared" si="96"/>
        <v>24092</v>
      </c>
      <c r="K87" s="2">
        <f t="shared" si="97"/>
        <v>23597</v>
      </c>
      <c r="L87" s="2">
        <f t="shared" si="98"/>
        <v>23102</v>
      </c>
    </row>
    <row r="88" spans="1:12" x14ac:dyDescent="0.25">
      <c r="A88" s="5">
        <v>850</v>
      </c>
      <c r="B88" s="2">
        <f t="shared" si="88"/>
        <v>28326</v>
      </c>
      <c r="C88" s="2">
        <f t="shared" si="89"/>
        <v>27831</v>
      </c>
      <c r="D88" s="2">
        <f t="shared" si="90"/>
        <v>27336</v>
      </c>
      <c r="E88" s="2">
        <f t="shared" si="91"/>
        <v>26841</v>
      </c>
      <c r="F88" s="2">
        <f t="shared" si="92"/>
        <v>26346</v>
      </c>
      <c r="G88" s="2">
        <f t="shared" si="93"/>
        <v>25851</v>
      </c>
      <c r="H88" s="2">
        <f t="shared" si="94"/>
        <v>25356</v>
      </c>
      <c r="I88" s="2">
        <f t="shared" si="95"/>
        <v>24861</v>
      </c>
      <c r="J88" s="2">
        <f t="shared" si="96"/>
        <v>24366</v>
      </c>
      <c r="K88" s="2">
        <f t="shared" si="97"/>
        <v>23871</v>
      </c>
      <c r="L88" s="2">
        <f t="shared" si="98"/>
        <v>23376</v>
      </c>
    </row>
    <row r="89" spans="1:12" x14ac:dyDescent="0.25">
      <c r="A89" s="5">
        <v>860</v>
      </c>
      <c r="B89" s="2">
        <f t="shared" si="88"/>
        <v>28600</v>
      </c>
      <c r="C89" s="2">
        <f t="shared" si="89"/>
        <v>28105</v>
      </c>
      <c r="D89" s="2">
        <f t="shared" si="90"/>
        <v>27610</v>
      </c>
      <c r="E89" s="2">
        <f t="shared" si="91"/>
        <v>27115</v>
      </c>
      <c r="F89" s="2">
        <f t="shared" si="92"/>
        <v>26620</v>
      </c>
      <c r="G89" s="2">
        <f t="shared" si="93"/>
        <v>26125</v>
      </c>
      <c r="H89" s="2">
        <f t="shared" si="94"/>
        <v>25630</v>
      </c>
      <c r="I89" s="2">
        <f t="shared" si="95"/>
        <v>25135</v>
      </c>
      <c r="J89" s="2">
        <f t="shared" si="96"/>
        <v>24640</v>
      </c>
      <c r="K89" s="2">
        <f t="shared" si="97"/>
        <v>24145</v>
      </c>
      <c r="L89" s="2">
        <f t="shared" si="98"/>
        <v>23650</v>
      </c>
    </row>
    <row r="90" spans="1:12" x14ac:dyDescent="0.25">
      <c r="A90" s="5">
        <v>870</v>
      </c>
      <c r="B90" s="2">
        <f t="shared" si="88"/>
        <v>28874</v>
      </c>
      <c r="C90" s="2">
        <f t="shared" si="89"/>
        <v>28379</v>
      </c>
      <c r="D90" s="2">
        <f t="shared" si="90"/>
        <v>27884</v>
      </c>
      <c r="E90" s="2">
        <f t="shared" si="91"/>
        <v>27389</v>
      </c>
      <c r="F90" s="2">
        <f t="shared" si="92"/>
        <v>26894</v>
      </c>
      <c r="G90" s="2">
        <f t="shared" si="93"/>
        <v>26399</v>
      </c>
      <c r="H90" s="2">
        <f t="shared" si="94"/>
        <v>25904</v>
      </c>
      <c r="I90" s="2">
        <f t="shared" si="95"/>
        <v>25409</v>
      </c>
      <c r="J90" s="2">
        <f t="shared" si="96"/>
        <v>24914</v>
      </c>
      <c r="K90" s="2">
        <f t="shared" si="97"/>
        <v>24419</v>
      </c>
      <c r="L90" s="2">
        <f t="shared" si="98"/>
        <v>23924</v>
      </c>
    </row>
    <row r="91" spans="1:12" x14ac:dyDescent="0.25">
      <c r="A91" s="5">
        <v>880</v>
      </c>
      <c r="B91" s="2">
        <f t="shared" si="88"/>
        <v>29148</v>
      </c>
      <c r="C91" s="2">
        <f t="shared" si="89"/>
        <v>28653</v>
      </c>
      <c r="D91" s="2">
        <f t="shared" si="90"/>
        <v>28158</v>
      </c>
      <c r="E91" s="2">
        <f t="shared" si="91"/>
        <v>27663</v>
      </c>
      <c r="F91" s="2">
        <f t="shared" si="92"/>
        <v>27168</v>
      </c>
      <c r="G91" s="2">
        <f t="shared" si="93"/>
        <v>26673</v>
      </c>
      <c r="H91" s="2">
        <f t="shared" si="94"/>
        <v>26178</v>
      </c>
      <c r="I91" s="2">
        <f t="shared" si="95"/>
        <v>25683</v>
      </c>
      <c r="J91" s="2">
        <f t="shared" si="96"/>
        <v>25188</v>
      </c>
      <c r="K91" s="2">
        <f t="shared" si="97"/>
        <v>24693</v>
      </c>
      <c r="L91" s="2">
        <f t="shared" si="98"/>
        <v>24198</v>
      </c>
    </row>
    <row r="92" spans="1:12" x14ac:dyDescent="0.25">
      <c r="A92" s="5">
        <v>890</v>
      </c>
      <c r="B92" s="2">
        <f t="shared" si="88"/>
        <v>29422</v>
      </c>
      <c r="C92" s="2">
        <f t="shared" si="89"/>
        <v>28927</v>
      </c>
      <c r="D92" s="2">
        <f t="shared" si="90"/>
        <v>28432</v>
      </c>
      <c r="E92" s="2">
        <f t="shared" si="91"/>
        <v>27937</v>
      </c>
      <c r="F92" s="2">
        <f t="shared" si="92"/>
        <v>27442</v>
      </c>
      <c r="G92" s="2">
        <f t="shared" si="93"/>
        <v>26947</v>
      </c>
      <c r="H92" s="2">
        <f t="shared" si="94"/>
        <v>26452</v>
      </c>
      <c r="I92" s="2">
        <f t="shared" si="95"/>
        <v>25957</v>
      </c>
      <c r="J92" s="2">
        <f t="shared" si="96"/>
        <v>25462</v>
      </c>
      <c r="K92" s="2">
        <f t="shared" si="97"/>
        <v>24967</v>
      </c>
      <c r="L92" s="2">
        <f t="shared" si="98"/>
        <v>24472</v>
      </c>
    </row>
    <row r="93" spans="1:12" x14ac:dyDescent="0.25">
      <c r="A93" s="5">
        <v>900</v>
      </c>
      <c r="B93" s="4">
        <v>29696</v>
      </c>
      <c r="C93" s="4">
        <v>29201</v>
      </c>
      <c r="D93" s="4">
        <v>28706</v>
      </c>
      <c r="E93" s="4">
        <v>28211</v>
      </c>
      <c r="F93" s="4">
        <v>27716</v>
      </c>
      <c r="G93" s="4">
        <v>27221</v>
      </c>
      <c r="H93" s="4">
        <v>26726</v>
      </c>
      <c r="I93" s="4">
        <v>26231</v>
      </c>
      <c r="J93" s="4">
        <v>25736</v>
      </c>
      <c r="K93" s="4">
        <v>25241</v>
      </c>
      <c r="L93" s="4">
        <v>24746</v>
      </c>
    </row>
    <row r="94" spans="1:12" x14ac:dyDescent="0.25">
      <c r="A94" s="5">
        <v>910</v>
      </c>
      <c r="B94" s="2">
        <f t="shared" ref="B94:B102" si="99">((B$103-B$93)/10+B93)</f>
        <v>29970</v>
      </c>
      <c r="C94" s="2">
        <f t="shared" ref="C94:C102" si="100">((C$103-C$93)/10+C93)</f>
        <v>29475</v>
      </c>
      <c r="D94" s="2">
        <f t="shared" ref="D94:D102" si="101">((D$103-D$93)/10+D93)</f>
        <v>28980</v>
      </c>
      <c r="E94" s="2">
        <f t="shared" ref="E94:E102" si="102">((E$103-E$93)/10+E93)</f>
        <v>28485</v>
      </c>
      <c r="F94" s="2">
        <f t="shared" ref="F94:F102" si="103">((F$103-F$93)/10+F93)</f>
        <v>27990</v>
      </c>
      <c r="G94" s="2">
        <f t="shared" ref="G94:G102" si="104">((G$103-G$93)/10+G93)</f>
        <v>27495</v>
      </c>
      <c r="H94" s="2">
        <f t="shared" ref="H94:H102" si="105">((H$103-H$93)/10+H93)</f>
        <v>27000</v>
      </c>
      <c r="I94" s="2">
        <f t="shared" ref="I94:I102" si="106">((I$103-I$93)/10+I93)</f>
        <v>26505</v>
      </c>
      <c r="J94" s="2">
        <f t="shared" ref="J94:J102" si="107">((J$103-J$93)/10+J93)</f>
        <v>26010</v>
      </c>
      <c r="K94" s="2">
        <f t="shared" ref="K94:K102" si="108">((K$103-K$93)/10+K93)</f>
        <v>25515</v>
      </c>
      <c r="L94" s="2">
        <f t="shared" ref="L94:L102" si="109">((L$103-L$93)/10+L93)</f>
        <v>25020</v>
      </c>
    </row>
    <row r="95" spans="1:12" x14ac:dyDescent="0.25">
      <c r="A95" s="5">
        <v>920</v>
      </c>
      <c r="B95" s="2">
        <f t="shared" si="99"/>
        <v>30244</v>
      </c>
      <c r="C95" s="2">
        <f t="shared" si="100"/>
        <v>29749</v>
      </c>
      <c r="D95" s="2">
        <f t="shared" si="101"/>
        <v>29254</v>
      </c>
      <c r="E95" s="2">
        <f t="shared" si="102"/>
        <v>28759</v>
      </c>
      <c r="F95" s="2">
        <f t="shared" si="103"/>
        <v>28264</v>
      </c>
      <c r="G95" s="2">
        <f t="shared" si="104"/>
        <v>27769</v>
      </c>
      <c r="H95" s="2">
        <f t="shared" si="105"/>
        <v>27274</v>
      </c>
      <c r="I95" s="2">
        <f t="shared" si="106"/>
        <v>26779</v>
      </c>
      <c r="J95" s="2">
        <f t="shared" si="107"/>
        <v>26284</v>
      </c>
      <c r="K95" s="2">
        <f t="shared" si="108"/>
        <v>25789</v>
      </c>
      <c r="L95" s="2">
        <f t="shared" si="109"/>
        <v>25294</v>
      </c>
    </row>
    <row r="96" spans="1:12" x14ac:dyDescent="0.25">
      <c r="A96" s="5">
        <v>930</v>
      </c>
      <c r="B96" s="2">
        <f t="shared" si="99"/>
        <v>30518</v>
      </c>
      <c r="C96" s="2">
        <f t="shared" si="100"/>
        <v>30023</v>
      </c>
      <c r="D96" s="2">
        <f t="shared" si="101"/>
        <v>29528</v>
      </c>
      <c r="E96" s="2">
        <f t="shared" si="102"/>
        <v>29033</v>
      </c>
      <c r="F96" s="2">
        <f t="shared" si="103"/>
        <v>28538</v>
      </c>
      <c r="G96" s="2">
        <f t="shared" si="104"/>
        <v>28043</v>
      </c>
      <c r="H96" s="2">
        <f t="shared" si="105"/>
        <v>27548</v>
      </c>
      <c r="I96" s="2">
        <f t="shared" si="106"/>
        <v>27053</v>
      </c>
      <c r="J96" s="2">
        <f t="shared" si="107"/>
        <v>26558</v>
      </c>
      <c r="K96" s="2">
        <f t="shared" si="108"/>
        <v>26063</v>
      </c>
      <c r="L96" s="2">
        <f t="shared" si="109"/>
        <v>25568</v>
      </c>
    </row>
    <row r="97" spans="1:12" x14ac:dyDescent="0.25">
      <c r="A97" s="5">
        <v>940</v>
      </c>
      <c r="B97" s="2">
        <f t="shared" si="99"/>
        <v>30792</v>
      </c>
      <c r="C97" s="2">
        <f t="shared" si="100"/>
        <v>30297</v>
      </c>
      <c r="D97" s="2">
        <f t="shared" si="101"/>
        <v>29802</v>
      </c>
      <c r="E97" s="2">
        <f t="shared" si="102"/>
        <v>29307</v>
      </c>
      <c r="F97" s="2">
        <f t="shared" si="103"/>
        <v>28812</v>
      </c>
      <c r="G97" s="2">
        <f t="shared" si="104"/>
        <v>28317</v>
      </c>
      <c r="H97" s="2">
        <f t="shared" si="105"/>
        <v>27822</v>
      </c>
      <c r="I97" s="2">
        <f t="shared" si="106"/>
        <v>27327</v>
      </c>
      <c r="J97" s="2">
        <f t="shared" si="107"/>
        <v>26832</v>
      </c>
      <c r="K97" s="2">
        <f t="shared" si="108"/>
        <v>26337</v>
      </c>
      <c r="L97" s="2">
        <f t="shared" si="109"/>
        <v>25842</v>
      </c>
    </row>
    <row r="98" spans="1:12" x14ac:dyDescent="0.25">
      <c r="A98" s="5">
        <v>950</v>
      </c>
      <c r="B98" s="2">
        <f t="shared" si="99"/>
        <v>31066</v>
      </c>
      <c r="C98" s="2">
        <f t="shared" si="100"/>
        <v>30571</v>
      </c>
      <c r="D98" s="2">
        <f t="shared" si="101"/>
        <v>30076</v>
      </c>
      <c r="E98" s="2">
        <f t="shared" si="102"/>
        <v>29581</v>
      </c>
      <c r="F98" s="2">
        <f t="shared" si="103"/>
        <v>29086</v>
      </c>
      <c r="G98" s="2">
        <f t="shared" si="104"/>
        <v>28591</v>
      </c>
      <c r="H98" s="2">
        <f t="shared" si="105"/>
        <v>28096</v>
      </c>
      <c r="I98" s="2">
        <f t="shared" si="106"/>
        <v>27601</v>
      </c>
      <c r="J98" s="2">
        <f t="shared" si="107"/>
        <v>27106</v>
      </c>
      <c r="K98" s="2">
        <f t="shared" si="108"/>
        <v>26611</v>
      </c>
      <c r="L98" s="2">
        <f t="shared" si="109"/>
        <v>26116</v>
      </c>
    </row>
    <row r="99" spans="1:12" x14ac:dyDescent="0.25">
      <c r="A99" s="5">
        <v>960</v>
      </c>
      <c r="B99" s="2">
        <f t="shared" si="99"/>
        <v>31340</v>
      </c>
      <c r="C99" s="2">
        <f t="shared" si="100"/>
        <v>30845</v>
      </c>
      <c r="D99" s="2">
        <f t="shared" si="101"/>
        <v>30350</v>
      </c>
      <c r="E99" s="2">
        <f t="shared" si="102"/>
        <v>29855</v>
      </c>
      <c r="F99" s="2">
        <f t="shared" si="103"/>
        <v>29360</v>
      </c>
      <c r="G99" s="2">
        <f t="shared" si="104"/>
        <v>28865</v>
      </c>
      <c r="H99" s="2">
        <f t="shared" si="105"/>
        <v>28370</v>
      </c>
      <c r="I99" s="2">
        <f t="shared" si="106"/>
        <v>27875</v>
      </c>
      <c r="J99" s="2">
        <f t="shared" si="107"/>
        <v>27380</v>
      </c>
      <c r="K99" s="2">
        <f t="shared" si="108"/>
        <v>26885</v>
      </c>
      <c r="L99" s="2">
        <f t="shared" si="109"/>
        <v>26390</v>
      </c>
    </row>
    <row r="100" spans="1:12" x14ac:dyDescent="0.25">
      <c r="A100" s="5">
        <v>970</v>
      </c>
      <c r="B100" s="2">
        <f t="shared" si="99"/>
        <v>31614</v>
      </c>
      <c r="C100" s="2">
        <f t="shared" si="100"/>
        <v>31119</v>
      </c>
      <c r="D100" s="2">
        <f t="shared" si="101"/>
        <v>30624</v>
      </c>
      <c r="E100" s="2">
        <f t="shared" si="102"/>
        <v>30129</v>
      </c>
      <c r="F100" s="2">
        <f t="shared" si="103"/>
        <v>29634</v>
      </c>
      <c r="G100" s="2">
        <f t="shared" si="104"/>
        <v>29139</v>
      </c>
      <c r="H100" s="2">
        <f t="shared" si="105"/>
        <v>28644</v>
      </c>
      <c r="I100" s="2">
        <f t="shared" si="106"/>
        <v>28149</v>
      </c>
      <c r="J100" s="2">
        <f t="shared" si="107"/>
        <v>27654</v>
      </c>
      <c r="K100" s="2">
        <f t="shared" si="108"/>
        <v>27159</v>
      </c>
      <c r="L100" s="2">
        <f t="shared" si="109"/>
        <v>26664</v>
      </c>
    </row>
    <row r="101" spans="1:12" x14ac:dyDescent="0.25">
      <c r="A101" s="5">
        <v>980</v>
      </c>
      <c r="B101" s="2">
        <f t="shared" si="99"/>
        <v>31888</v>
      </c>
      <c r="C101" s="2">
        <f t="shared" si="100"/>
        <v>31393</v>
      </c>
      <c r="D101" s="2">
        <f t="shared" si="101"/>
        <v>30898</v>
      </c>
      <c r="E101" s="2">
        <f t="shared" si="102"/>
        <v>30403</v>
      </c>
      <c r="F101" s="2">
        <f t="shared" si="103"/>
        <v>29908</v>
      </c>
      <c r="G101" s="2">
        <f t="shared" si="104"/>
        <v>29413</v>
      </c>
      <c r="H101" s="2">
        <f t="shared" si="105"/>
        <v>28918</v>
      </c>
      <c r="I101" s="2">
        <f t="shared" si="106"/>
        <v>28423</v>
      </c>
      <c r="J101" s="2">
        <f t="shared" si="107"/>
        <v>27928</v>
      </c>
      <c r="K101" s="2">
        <f t="shared" si="108"/>
        <v>27433</v>
      </c>
      <c r="L101" s="2">
        <f t="shared" si="109"/>
        <v>26938</v>
      </c>
    </row>
    <row r="102" spans="1:12" x14ac:dyDescent="0.25">
      <c r="A102" s="5">
        <v>990</v>
      </c>
      <c r="B102" s="2">
        <f t="shared" si="99"/>
        <v>32162</v>
      </c>
      <c r="C102" s="2">
        <f t="shared" si="100"/>
        <v>31667</v>
      </c>
      <c r="D102" s="2">
        <f t="shared" si="101"/>
        <v>31172</v>
      </c>
      <c r="E102" s="2">
        <f t="shared" si="102"/>
        <v>30677</v>
      </c>
      <c r="F102" s="2">
        <f t="shared" si="103"/>
        <v>30182</v>
      </c>
      <c r="G102" s="2">
        <f t="shared" si="104"/>
        <v>29687</v>
      </c>
      <c r="H102" s="2">
        <f t="shared" si="105"/>
        <v>29192</v>
      </c>
      <c r="I102" s="2">
        <f t="shared" si="106"/>
        <v>28697</v>
      </c>
      <c r="J102" s="2">
        <f t="shared" si="107"/>
        <v>28202</v>
      </c>
      <c r="K102" s="2">
        <f t="shared" si="108"/>
        <v>27707</v>
      </c>
      <c r="L102" s="2">
        <f t="shared" si="109"/>
        <v>27212</v>
      </c>
    </row>
    <row r="103" spans="1:12" x14ac:dyDescent="0.25">
      <c r="A103" s="5">
        <v>1000</v>
      </c>
      <c r="B103" s="4">
        <v>32436</v>
      </c>
      <c r="C103" s="4">
        <v>31941</v>
      </c>
      <c r="D103" s="4">
        <v>31446</v>
      </c>
      <c r="E103" s="4">
        <v>30951</v>
      </c>
      <c r="F103" s="4">
        <v>30456</v>
      </c>
      <c r="G103" s="4">
        <v>29961</v>
      </c>
      <c r="H103" s="4">
        <v>29466</v>
      </c>
      <c r="I103" s="4">
        <v>28971</v>
      </c>
      <c r="J103" s="4">
        <v>28476</v>
      </c>
      <c r="K103" s="4">
        <v>27981</v>
      </c>
      <c r="L103" s="4">
        <v>27486</v>
      </c>
    </row>
    <row r="104" spans="1:12" x14ac:dyDescent="0.25">
      <c r="A104" s="5">
        <v>1010</v>
      </c>
      <c r="B104" s="2">
        <f t="shared" ref="B104:B112" si="110">((B$113-B$103)/10+B103)</f>
        <v>32710</v>
      </c>
      <c r="C104" s="2">
        <f t="shared" ref="C104:C112" si="111">((C$113-C$103)/10+C103)</f>
        <v>32215</v>
      </c>
      <c r="D104" s="2">
        <f t="shared" ref="D104:D112" si="112">((D$113-D$103)/10+D103)</f>
        <v>31720</v>
      </c>
      <c r="E104" s="2">
        <f t="shared" ref="E104:E112" si="113">((E$113-E$103)/10+E103)</f>
        <v>31225</v>
      </c>
      <c r="F104" s="2">
        <f t="shared" ref="F104:F112" si="114">((F$113-F$103)/10+F103)</f>
        <v>30730</v>
      </c>
      <c r="G104" s="2">
        <f t="shared" ref="G104:G112" si="115">((G$113-G$103)/10+G103)</f>
        <v>30235</v>
      </c>
      <c r="H104" s="2">
        <f t="shared" ref="H104:H112" si="116">((H$113-H$103)/10+H103)</f>
        <v>29740</v>
      </c>
      <c r="I104" s="2">
        <f t="shared" ref="I104:I112" si="117">((I$113-I$103)/10+I103)</f>
        <v>29245</v>
      </c>
      <c r="J104" s="2">
        <f t="shared" ref="J104:J112" si="118">((J$113-J$103)/10+J103)</f>
        <v>28750</v>
      </c>
      <c r="K104" s="2">
        <f t="shared" ref="K104:K112" si="119">((K$113-K$103)/10+K103)</f>
        <v>28255</v>
      </c>
      <c r="L104" s="2">
        <f t="shared" ref="L104:L112" si="120">((L$113-L$103)/10+L103)</f>
        <v>27760</v>
      </c>
    </row>
    <row r="105" spans="1:12" x14ac:dyDescent="0.25">
      <c r="A105" s="5">
        <v>1020</v>
      </c>
      <c r="B105" s="2">
        <f t="shared" si="110"/>
        <v>32984</v>
      </c>
      <c r="C105" s="2">
        <f t="shared" si="111"/>
        <v>32489</v>
      </c>
      <c r="D105" s="2">
        <f t="shared" si="112"/>
        <v>31994</v>
      </c>
      <c r="E105" s="2">
        <f t="shared" si="113"/>
        <v>31499</v>
      </c>
      <c r="F105" s="2">
        <f t="shared" si="114"/>
        <v>31004</v>
      </c>
      <c r="G105" s="2">
        <f t="shared" si="115"/>
        <v>30509</v>
      </c>
      <c r="H105" s="2">
        <f t="shared" si="116"/>
        <v>30014</v>
      </c>
      <c r="I105" s="2">
        <f t="shared" si="117"/>
        <v>29519</v>
      </c>
      <c r="J105" s="2">
        <f t="shared" si="118"/>
        <v>29024</v>
      </c>
      <c r="K105" s="2">
        <f t="shared" si="119"/>
        <v>28529</v>
      </c>
      <c r="L105" s="2">
        <f t="shared" si="120"/>
        <v>28034</v>
      </c>
    </row>
    <row r="106" spans="1:12" x14ac:dyDescent="0.25">
      <c r="A106" s="5">
        <v>1030</v>
      </c>
      <c r="B106" s="2">
        <f t="shared" si="110"/>
        <v>33258</v>
      </c>
      <c r="C106" s="2">
        <f t="shared" si="111"/>
        <v>32763</v>
      </c>
      <c r="D106" s="2">
        <f t="shared" si="112"/>
        <v>32268</v>
      </c>
      <c r="E106" s="2">
        <f t="shared" si="113"/>
        <v>31773</v>
      </c>
      <c r="F106" s="2">
        <f t="shared" si="114"/>
        <v>31278</v>
      </c>
      <c r="G106" s="2">
        <f t="shared" si="115"/>
        <v>30783</v>
      </c>
      <c r="H106" s="2">
        <f t="shared" si="116"/>
        <v>30288</v>
      </c>
      <c r="I106" s="2">
        <f t="shared" si="117"/>
        <v>29793</v>
      </c>
      <c r="J106" s="2">
        <f t="shared" si="118"/>
        <v>29298</v>
      </c>
      <c r="K106" s="2">
        <f t="shared" si="119"/>
        <v>28803</v>
      </c>
      <c r="L106" s="2">
        <f t="shared" si="120"/>
        <v>28308</v>
      </c>
    </row>
    <row r="107" spans="1:12" x14ac:dyDescent="0.25">
      <c r="A107" s="5">
        <v>1040</v>
      </c>
      <c r="B107" s="2">
        <f t="shared" si="110"/>
        <v>33532</v>
      </c>
      <c r="C107" s="2">
        <f t="shared" si="111"/>
        <v>33037</v>
      </c>
      <c r="D107" s="2">
        <f t="shared" si="112"/>
        <v>32542</v>
      </c>
      <c r="E107" s="2">
        <f t="shared" si="113"/>
        <v>32047</v>
      </c>
      <c r="F107" s="2">
        <f t="shared" si="114"/>
        <v>31552</v>
      </c>
      <c r="G107" s="2">
        <f t="shared" si="115"/>
        <v>31057</v>
      </c>
      <c r="H107" s="2">
        <f t="shared" si="116"/>
        <v>30562</v>
      </c>
      <c r="I107" s="2">
        <f t="shared" si="117"/>
        <v>30067</v>
      </c>
      <c r="J107" s="2">
        <f t="shared" si="118"/>
        <v>29572</v>
      </c>
      <c r="K107" s="2">
        <f t="shared" si="119"/>
        <v>29077</v>
      </c>
      <c r="L107" s="2">
        <f t="shared" si="120"/>
        <v>28582</v>
      </c>
    </row>
    <row r="108" spans="1:12" x14ac:dyDescent="0.25">
      <c r="A108" s="5">
        <v>1050</v>
      </c>
      <c r="B108" s="2">
        <f t="shared" si="110"/>
        <v>33806</v>
      </c>
      <c r="C108" s="2">
        <f t="shared" si="111"/>
        <v>33311</v>
      </c>
      <c r="D108" s="2">
        <f t="shared" si="112"/>
        <v>32816</v>
      </c>
      <c r="E108" s="2">
        <f t="shared" si="113"/>
        <v>32321</v>
      </c>
      <c r="F108" s="2">
        <f t="shared" si="114"/>
        <v>31826</v>
      </c>
      <c r="G108" s="2">
        <f t="shared" si="115"/>
        <v>31331</v>
      </c>
      <c r="H108" s="2">
        <f t="shared" si="116"/>
        <v>30836</v>
      </c>
      <c r="I108" s="2">
        <f t="shared" si="117"/>
        <v>30341</v>
      </c>
      <c r="J108" s="2">
        <f t="shared" si="118"/>
        <v>29846</v>
      </c>
      <c r="K108" s="2">
        <f t="shared" si="119"/>
        <v>29351</v>
      </c>
      <c r="L108" s="2">
        <f t="shared" si="120"/>
        <v>28856</v>
      </c>
    </row>
    <row r="109" spans="1:12" x14ac:dyDescent="0.25">
      <c r="A109" s="5">
        <v>1060</v>
      </c>
      <c r="B109" s="2">
        <f t="shared" si="110"/>
        <v>34080</v>
      </c>
      <c r="C109" s="2">
        <f t="shared" si="111"/>
        <v>33585</v>
      </c>
      <c r="D109" s="2">
        <f t="shared" si="112"/>
        <v>33090</v>
      </c>
      <c r="E109" s="2">
        <f t="shared" si="113"/>
        <v>32595</v>
      </c>
      <c r="F109" s="2">
        <f t="shared" si="114"/>
        <v>32100</v>
      </c>
      <c r="G109" s="2">
        <f t="shared" si="115"/>
        <v>31605</v>
      </c>
      <c r="H109" s="2">
        <f t="shared" si="116"/>
        <v>31110</v>
      </c>
      <c r="I109" s="2">
        <f t="shared" si="117"/>
        <v>30615</v>
      </c>
      <c r="J109" s="2">
        <f t="shared" si="118"/>
        <v>30120</v>
      </c>
      <c r="K109" s="2">
        <f t="shared" si="119"/>
        <v>29625</v>
      </c>
      <c r="L109" s="2">
        <f t="shared" si="120"/>
        <v>29130</v>
      </c>
    </row>
    <row r="110" spans="1:12" x14ac:dyDescent="0.25">
      <c r="A110" s="5">
        <v>1070</v>
      </c>
      <c r="B110" s="2">
        <f t="shared" si="110"/>
        <v>34354</v>
      </c>
      <c r="C110" s="2">
        <f t="shared" si="111"/>
        <v>33859</v>
      </c>
      <c r="D110" s="2">
        <f t="shared" si="112"/>
        <v>33364</v>
      </c>
      <c r="E110" s="2">
        <f t="shared" si="113"/>
        <v>32869</v>
      </c>
      <c r="F110" s="2">
        <f t="shared" si="114"/>
        <v>32374</v>
      </c>
      <c r="G110" s="2">
        <f t="shared" si="115"/>
        <v>31879</v>
      </c>
      <c r="H110" s="2">
        <f t="shared" si="116"/>
        <v>31384</v>
      </c>
      <c r="I110" s="2">
        <f t="shared" si="117"/>
        <v>30889</v>
      </c>
      <c r="J110" s="2">
        <f t="shared" si="118"/>
        <v>30394</v>
      </c>
      <c r="K110" s="2">
        <f t="shared" si="119"/>
        <v>29899</v>
      </c>
      <c r="L110" s="2">
        <f t="shared" si="120"/>
        <v>29404</v>
      </c>
    </row>
    <row r="111" spans="1:12" x14ac:dyDescent="0.25">
      <c r="A111" s="5">
        <v>1080</v>
      </c>
      <c r="B111" s="2">
        <f t="shared" si="110"/>
        <v>34628</v>
      </c>
      <c r="C111" s="2">
        <f t="shared" si="111"/>
        <v>34133</v>
      </c>
      <c r="D111" s="2">
        <f t="shared" si="112"/>
        <v>33638</v>
      </c>
      <c r="E111" s="2">
        <f t="shared" si="113"/>
        <v>33143</v>
      </c>
      <c r="F111" s="2">
        <f t="shared" si="114"/>
        <v>32648</v>
      </c>
      <c r="G111" s="2">
        <f t="shared" si="115"/>
        <v>32153</v>
      </c>
      <c r="H111" s="2">
        <f t="shared" si="116"/>
        <v>31658</v>
      </c>
      <c r="I111" s="2">
        <f t="shared" si="117"/>
        <v>31163</v>
      </c>
      <c r="J111" s="2">
        <f t="shared" si="118"/>
        <v>30668</v>
      </c>
      <c r="K111" s="2">
        <f t="shared" si="119"/>
        <v>30173</v>
      </c>
      <c r="L111" s="2">
        <f t="shared" si="120"/>
        <v>29678</v>
      </c>
    </row>
    <row r="112" spans="1:12" x14ac:dyDescent="0.25">
      <c r="A112" s="5">
        <v>1090</v>
      </c>
      <c r="B112" s="2">
        <f t="shared" si="110"/>
        <v>34902</v>
      </c>
      <c r="C112" s="2">
        <f t="shared" si="111"/>
        <v>34407</v>
      </c>
      <c r="D112" s="2">
        <f t="shared" si="112"/>
        <v>33912</v>
      </c>
      <c r="E112" s="2">
        <f t="shared" si="113"/>
        <v>33417</v>
      </c>
      <c r="F112" s="2">
        <f t="shared" si="114"/>
        <v>32922</v>
      </c>
      <c r="G112" s="2">
        <f t="shared" si="115"/>
        <v>32427</v>
      </c>
      <c r="H112" s="2">
        <f t="shared" si="116"/>
        <v>31932</v>
      </c>
      <c r="I112" s="2">
        <f t="shared" si="117"/>
        <v>31437</v>
      </c>
      <c r="J112" s="2">
        <f t="shared" si="118"/>
        <v>30942</v>
      </c>
      <c r="K112" s="2">
        <f t="shared" si="119"/>
        <v>30447</v>
      </c>
      <c r="L112" s="2">
        <f t="shared" si="120"/>
        <v>29952</v>
      </c>
    </row>
    <row r="113" spans="1:12" x14ac:dyDescent="0.25">
      <c r="A113" s="5">
        <v>1100</v>
      </c>
      <c r="B113" s="4">
        <v>35176</v>
      </c>
      <c r="C113" s="4">
        <v>34681</v>
      </c>
      <c r="D113" s="4">
        <v>34186</v>
      </c>
      <c r="E113" s="4">
        <v>33691</v>
      </c>
      <c r="F113" s="4">
        <v>33196</v>
      </c>
      <c r="G113" s="4">
        <v>32701</v>
      </c>
      <c r="H113" s="4">
        <v>32206</v>
      </c>
      <c r="I113" s="4">
        <v>31711</v>
      </c>
      <c r="J113" s="4">
        <v>31216</v>
      </c>
      <c r="K113" s="4">
        <v>30721</v>
      </c>
      <c r="L113" s="4">
        <v>30226</v>
      </c>
    </row>
    <row r="114" spans="1:12" x14ac:dyDescent="0.25">
      <c r="A114" s="5">
        <v>1110</v>
      </c>
      <c r="B114" s="2">
        <f t="shared" ref="B114:B122" si="121">((B$123-B$113)/10+B113)</f>
        <v>35437.699999999997</v>
      </c>
      <c r="C114" s="2">
        <f t="shared" ref="C114:C122" si="122">((C$123-C$113)/10+C113)</f>
        <v>34954.9</v>
      </c>
      <c r="D114" s="2">
        <f t="shared" ref="D114:D122" si="123">((D$123-D$113)/10+D113)</f>
        <v>34460</v>
      </c>
      <c r="E114" s="2">
        <f t="shared" ref="E114:E122" si="124">((E$123-E$113)/10+E113)</f>
        <v>33965</v>
      </c>
      <c r="F114" s="2">
        <f t="shared" ref="F114:F122" si="125">((F$123-F$113)/10+F113)</f>
        <v>33470</v>
      </c>
      <c r="G114" s="2">
        <f t="shared" ref="G114:G122" si="126">((G$123-G$113)/10+G113)</f>
        <v>32975</v>
      </c>
      <c r="H114" s="2">
        <f t="shared" ref="H114:H122" si="127">((H$123-H$113)/10+H113)</f>
        <v>32480</v>
      </c>
      <c r="I114" s="2">
        <f t="shared" ref="I114:I122" si="128">((I$123-I$113)/10+I113)</f>
        <v>31985</v>
      </c>
      <c r="J114" s="2">
        <f t="shared" ref="J114:J122" si="129">((J$123-J$113)/10+J113)</f>
        <v>31490</v>
      </c>
      <c r="K114" s="2">
        <f t="shared" ref="K114:K122" si="130">((K$123-K$113)/10+K113)</f>
        <v>30995</v>
      </c>
      <c r="L114" s="2">
        <f t="shared" ref="L114:L122" si="131">((L$123-L$113)/10+L113)</f>
        <v>30500</v>
      </c>
    </row>
    <row r="115" spans="1:12" x14ac:dyDescent="0.25">
      <c r="A115" s="5">
        <v>1120</v>
      </c>
      <c r="B115" s="2">
        <f t="shared" si="121"/>
        <v>35699.399999999994</v>
      </c>
      <c r="C115" s="2">
        <f t="shared" si="122"/>
        <v>35228.800000000003</v>
      </c>
      <c r="D115" s="2">
        <f t="shared" si="123"/>
        <v>34734</v>
      </c>
      <c r="E115" s="2">
        <f t="shared" si="124"/>
        <v>34239</v>
      </c>
      <c r="F115" s="2">
        <f t="shared" si="125"/>
        <v>33744</v>
      </c>
      <c r="G115" s="2">
        <f t="shared" si="126"/>
        <v>33249</v>
      </c>
      <c r="H115" s="2">
        <f t="shared" si="127"/>
        <v>32754</v>
      </c>
      <c r="I115" s="2">
        <f t="shared" si="128"/>
        <v>32259</v>
      </c>
      <c r="J115" s="2">
        <f t="shared" si="129"/>
        <v>31764</v>
      </c>
      <c r="K115" s="2">
        <f t="shared" si="130"/>
        <v>31269</v>
      </c>
      <c r="L115" s="2">
        <f t="shared" si="131"/>
        <v>30774</v>
      </c>
    </row>
    <row r="116" spans="1:12" x14ac:dyDescent="0.25">
      <c r="A116" s="5">
        <v>1130</v>
      </c>
      <c r="B116" s="2">
        <f t="shared" si="121"/>
        <v>35961.099999999991</v>
      </c>
      <c r="C116" s="2">
        <f t="shared" si="122"/>
        <v>35502.700000000004</v>
      </c>
      <c r="D116" s="2">
        <f t="shared" si="123"/>
        <v>35008</v>
      </c>
      <c r="E116" s="2">
        <f t="shared" si="124"/>
        <v>34513</v>
      </c>
      <c r="F116" s="2">
        <f t="shared" si="125"/>
        <v>34018</v>
      </c>
      <c r="G116" s="2">
        <f t="shared" si="126"/>
        <v>33523</v>
      </c>
      <c r="H116" s="2">
        <f t="shared" si="127"/>
        <v>33028</v>
      </c>
      <c r="I116" s="2">
        <f t="shared" si="128"/>
        <v>32533</v>
      </c>
      <c r="J116" s="2">
        <f t="shared" si="129"/>
        <v>32038</v>
      </c>
      <c r="K116" s="2">
        <f t="shared" si="130"/>
        <v>31543</v>
      </c>
      <c r="L116" s="2">
        <f t="shared" si="131"/>
        <v>31048</v>
      </c>
    </row>
    <row r="117" spans="1:12" x14ac:dyDescent="0.25">
      <c r="A117" s="5">
        <v>1140</v>
      </c>
      <c r="B117" s="2">
        <f t="shared" si="121"/>
        <v>36222.799999999988</v>
      </c>
      <c r="C117" s="2">
        <f t="shared" si="122"/>
        <v>35776.600000000006</v>
      </c>
      <c r="D117" s="2">
        <f t="shared" si="123"/>
        <v>35282</v>
      </c>
      <c r="E117" s="2">
        <f t="shared" si="124"/>
        <v>34787</v>
      </c>
      <c r="F117" s="2">
        <f t="shared" si="125"/>
        <v>34292</v>
      </c>
      <c r="G117" s="2">
        <f t="shared" si="126"/>
        <v>33797</v>
      </c>
      <c r="H117" s="2">
        <f t="shared" si="127"/>
        <v>33302</v>
      </c>
      <c r="I117" s="2">
        <f t="shared" si="128"/>
        <v>32807</v>
      </c>
      <c r="J117" s="2">
        <f t="shared" si="129"/>
        <v>32312</v>
      </c>
      <c r="K117" s="2">
        <f t="shared" si="130"/>
        <v>31817</v>
      </c>
      <c r="L117" s="2">
        <f t="shared" si="131"/>
        <v>31322</v>
      </c>
    </row>
    <row r="118" spans="1:12" x14ac:dyDescent="0.25">
      <c r="A118" s="5">
        <v>1150</v>
      </c>
      <c r="B118" s="2">
        <f t="shared" si="121"/>
        <v>36484.499999999985</v>
      </c>
      <c r="C118" s="2">
        <f t="shared" si="122"/>
        <v>36050.500000000007</v>
      </c>
      <c r="D118" s="2">
        <f t="shared" si="123"/>
        <v>35556</v>
      </c>
      <c r="E118" s="2">
        <f t="shared" si="124"/>
        <v>35061</v>
      </c>
      <c r="F118" s="2">
        <f t="shared" si="125"/>
        <v>34566</v>
      </c>
      <c r="G118" s="2">
        <f t="shared" si="126"/>
        <v>34071</v>
      </c>
      <c r="H118" s="2">
        <f t="shared" si="127"/>
        <v>33576</v>
      </c>
      <c r="I118" s="2">
        <f t="shared" si="128"/>
        <v>33081</v>
      </c>
      <c r="J118" s="2">
        <f t="shared" si="129"/>
        <v>32586</v>
      </c>
      <c r="K118" s="2">
        <f t="shared" si="130"/>
        <v>32091</v>
      </c>
      <c r="L118" s="2">
        <f t="shared" si="131"/>
        <v>31596</v>
      </c>
    </row>
    <row r="119" spans="1:12" x14ac:dyDescent="0.25">
      <c r="A119" s="5">
        <v>1160</v>
      </c>
      <c r="B119" s="2">
        <f t="shared" si="121"/>
        <v>36746.199999999983</v>
      </c>
      <c r="C119" s="2">
        <f t="shared" si="122"/>
        <v>36324.400000000009</v>
      </c>
      <c r="D119" s="2">
        <f t="shared" si="123"/>
        <v>35830</v>
      </c>
      <c r="E119" s="2">
        <f t="shared" si="124"/>
        <v>35335</v>
      </c>
      <c r="F119" s="2">
        <f t="shared" si="125"/>
        <v>34840</v>
      </c>
      <c r="G119" s="2">
        <f t="shared" si="126"/>
        <v>34345</v>
      </c>
      <c r="H119" s="2">
        <f t="shared" si="127"/>
        <v>33850</v>
      </c>
      <c r="I119" s="2">
        <f t="shared" si="128"/>
        <v>33355</v>
      </c>
      <c r="J119" s="2">
        <f t="shared" si="129"/>
        <v>32860</v>
      </c>
      <c r="K119" s="2">
        <f t="shared" si="130"/>
        <v>32365</v>
      </c>
      <c r="L119" s="2">
        <f t="shared" si="131"/>
        <v>31870</v>
      </c>
    </row>
    <row r="120" spans="1:12" x14ac:dyDescent="0.25">
      <c r="A120" s="5">
        <v>1170</v>
      </c>
      <c r="B120" s="2">
        <f t="shared" si="121"/>
        <v>37007.89999999998</v>
      </c>
      <c r="C120" s="2">
        <f t="shared" si="122"/>
        <v>36598.30000000001</v>
      </c>
      <c r="D120" s="2">
        <f t="shared" si="123"/>
        <v>36104</v>
      </c>
      <c r="E120" s="2">
        <f t="shared" si="124"/>
        <v>35609</v>
      </c>
      <c r="F120" s="2">
        <f t="shared" si="125"/>
        <v>35114</v>
      </c>
      <c r="G120" s="2">
        <f t="shared" si="126"/>
        <v>34619</v>
      </c>
      <c r="H120" s="2">
        <f t="shared" si="127"/>
        <v>34124</v>
      </c>
      <c r="I120" s="2">
        <f t="shared" si="128"/>
        <v>33629</v>
      </c>
      <c r="J120" s="2">
        <f t="shared" si="129"/>
        <v>33134</v>
      </c>
      <c r="K120" s="2">
        <f t="shared" si="130"/>
        <v>32639</v>
      </c>
      <c r="L120" s="2">
        <f t="shared" si="131"/>
        <v>32144</v>
      </c>
    </row>
    <row r="121" spans="1:12" x14ac:dyDescent="0.25">
      <c r="A121" s="5">
        <v>1180</v>
      </c>
      <c r="B121" s="2">
        <f t="shared" si="121"/>
        <v>37269.599999999977</v>
      </c>
      <c r="C121" s="2">
        <f t="shared" si="122"/>
        <v>36872.200000000012</v>
      </c>
      <c r="D121" s="2">
        <f t="shared" si="123"/>
        <v>36378</v>
      </c>
      <c r="E121" s="2">
        <f t="shared" si="124"/>
        <v>35883</v>
      </c>
      <c r="F121" s="2">
        <f t="shared" si="125"/>
        <v>35388</v>
      </c>
      <c r="G121" s="2">
        <f t="shared" si="126"/>
        <v>34893</v>
      </c>
      <c r="H121" s="2">
        <f t="shared" si="127"/>
        <v>34398</v>
      </c>
      <c r="I121" s="2">
        <f t="shared" si="128"/>
        <v>33903</v>
      </c>
      <c r="J121" s="2">
        <f t="shared" si="129"/>
        <v>33408</v>
      </c>
      <c r="K121" s="2">
        <f t="shared" si="130"/>
        <v>32913</v>
      </c>
      <c r="L121" s="2">
        <f t="shared" si="131"/>
        <v>32418</v>
      </c>
    </row>
    <row r="122" spans="1:12" x14ac:dyDescent="0.25">
      <c r="A122" s="5">
        <v>1190</v>
      </c>
      <c r="B122" s="2">
        <f t="shared" si="121"/>
        <v>37531.299999999974</v>
      </c>
      <c r="C122" s="2">
        <f t="shared" si="122"/>
        <v>37146.100000000013</v>
      </c>
      <c r="D122" s="2">
        <f t="shared" si="123"/>
        <v>36652</v>
      </c>
      <c r="E122" s="2">
        <f t="shared" si="124"/>
        <v>36157</v>
      </c>
      <c r="F122" s="2">
        <f t="shared" si="125"/>
        <v>35662</v>
      </c>
      <c r="G122" s="2">
        <f t="shared" si="126"/>
        <v>35167</v>
      </c>
      <c r="H122" s="2">
        <f t="shared" si="127"/>
        <v>34672</v>
      </c>
      <c r="I122" s="2">
        <f t="shared" si="128"/>
        <v>34177</v>
      </c>
      <c r="J122" s="2">
        <f t="shared" si="129"/>
        <v>33682</v>
      </c>
      <c r="K122" s="2">
        <f t="shared" si="130"/>
        <v>33187</v>
      </c>
      <c r="L122" s="2">
        <f t="shared" si="131"/>
        <v>32692</v>
      </c>
    </row>
    <row r="123" spans="1:12" x14ac:dyDescent="0.25">
      <c r="A123" s="5">
        <v>1200</v>
      </c>
      <c r="B123" s="4">
        <v>37793</v>
      </c>
      <c r="C123" s="4">
        <v>37420</v>
      </c>
      <c r="D123" s="4">
        <v>36926</v>
      </c>
      <c r="E123" s="4">
        <v>36431</v>
      </c>
      <c r="F123" s="4">
        <v>35936</v>
      </c>
      <c r="G123" s="4">
        <v>35441</v>
      </c>
      <c r="H123" s="4">
        <v>34946</v>
      </c>
      <c r="I123" s="4">
        <v>34451</v>
      </c>
      <c r="J123" s="4">
        <v>33956</v>
      </c>
      <c r="K123" s="4">
        <v>33461</v>
      </c>
      <c r="L123" s="4">
        <v>32966</v>
      </c>
    </row>
    <row r="124" spans="1:12" x14ac:dyDescent="0.25">
      <c r="A124" s="5">
        <v>1210</v>
      </c>
      <c r="B124" s="2">
        <f t="shared" ref="B124:B132" si="132">((B$133 -B$123)/10+B123)</f>
        <v>37933.800000000003</v>
      </c>
      <c r="C124" s="2">
        <f t="shared" ref="C124:C132" si="133">((C$133 -C$123)/10+C123)</f>
        <v>37594.800000000003</v>
      </c>
      <c r="D124" s="2">
        <f t="shared" ref="D124:D132" si="134">((D$133 -D$123)/10+D123)</f>
        <v>37144.6</v>
      </c>
      <c r="E124" s="2">
        <f t="shared" ref="E124:E132" si="135">((E$133 -E$123)/10+E123)</f>
        <v>36687.9</v>
      </c>
      <c r="F124" s="2">
        <f t="shared" ref="F124:F132" si="136">((F$133 -F$123)/10+F123)</f>
        <v>36278.199999999997</v>
      </c>
      <c r="G124" s="2">
        <f t="shared" ref="G124:G132" si="137">((G$133 -G$123)/10+G123)</f>
        <v>35715</v>
      </c>
      <c r="H124" s="2">
        <f t="shared" ref="H124:H132" si="138">((H$133 -H$123)/10+H123)</f>
        <v>35220</v>
      </c>
      <c r="I124" s="2">
        <f t="shared" ref="I124:I132" si="139">((I$133 -I$123)/10+I123)</f>
        <v>34725</v>
      </c>
      <c r="J124" s="2">
        <f t="shared" ref="J124:J132" si="140">((J$133 -J$123)/10+J123)</f>
        <v>34230</v>
      </c>
      <c r="K124" s="2">
        <f t="shared" ref="K124:K132" si="141">((K$133 -K$123)/10+K123)</f>
        <v>33735</v>
      </c>
      <c r="L124" s="2">
        <f t="shared" ref="L124:L132" si="142">((L$133 -L$123)/10+L123)</f>
        <v>33240</v>
      </c>
    </row>
    <row r="125" spans="1:12" x14ac:dyDescent="0.25">
      <c r="A125" s="5">
        <v>1220</v>
      </c>
      <c r="B125" s="2">
        <f t="shared" si="132"/>
        <v>38074.600000000006</v>
      </c>
      <c r="C125" s="2">
        <f t="shared" si="133"/>
        <v>37769.600000000006</v>
      </c>
      <c r="D125" s="2">
        <f t="shared" si="134"/>
        <v>37363.199999999997</v>
      </c>
      <c r="E125" s="2">
        <f t="shared" si="135"/>
        <v>36944.800000000003</v>
      </c>
      <c r="F125" s="2">
        <f t="shared" si="136"/>
        <v>36620.399999999994</v>
      </c>
      <c r="G125" s="2">
        <f t="shared" si="137"/>
        <v>35989</v>
      </c>
      <c r="H125" s="2">
        <f t="shared" si="138"/>
        <v>35494</v>
      </c>
      <c r="I125" s="2">
        <f t="shared" si="139"/>
        <v>34999</v>
      </c>
      <c r="J125" s="2">
        <f t="shared" si="140"/>
        <v>34504</v>
      </c>
      <c r="K125" s="2">
        <f t="shared" si="141"/>
        <v>34009</v>
      </c>
      <c r="L125" s="2">
        <f t="shared" si="142"/>
        <v>33514</v>
      </c>
    </row>
    <row r="126" spans="1:12" x14ac:dyDescent="0.25">
      <c r="A126" s="5">
        <v>1230</v>
      </c>
      <c r="B126" s="2">
        <f t="shared" si="132"/>
        <v>38215.400000000009</v>
      </c>
      <c r="C126" s="2">
        <f t="shared" si="133"/>
        <v>37944.400000000009</v>
      </c>
      <c r="D126" s="2">
        <f t="shared" si="134"/>
        <v>37581.799999999996</v>
      </c>
      <c r="E126" s="2">
        <f t="shared" si="135"/>
        <v>37201.700000000004</v>
      </c>
      <c r="F126" s="2">
        <f t="shared" si="136"/>
        <v>36962.599999999991</v>
      </c>
      <c r="G126" s="2">
        <f t="shared" si="137"/>
        <v>36263</v>
      </c>
      <c r="H126" s="2">
        <f t="shared" si="138"/>
        <v>35768</v>
      </c>
      <c r="I126" s="2">
        <f t="shared" si="139"/>
        <v>35273</v>
      </c>
      <c r="J126" s="2">
        <f t="shared" si="140"/>
        <v>34778</v>
      </c>
      <c r="K126" s="2">
        <f t="shared" si="141"/>
        <v>34283</v>
      </c>
      <c r="L126" s="2">
        <f t="shared" si="142"/>
        <v>33788</v>
      </c>
    </row>
    <row r="127" spans="1:12" x14ac:dyDescent="0.25">
      <c r="A127" s="5">
        <v>1240</v>
      </c>
      <c r="B127" s="2">
        <f t="shared" si="132"/>
        <v>38356.200000000012</v>
      </c>
      <c r="C127" s="2">
        <f t="shared" si="133"/>
        <v>38119.200000000012</v>
      </c>
      <c r="D127" s="2">
        <f t="shared" si="134"/>
        <v>37800.399999999994</v>
      </c>
      <c r="E127" s="2">
        <f t="shared" si="135"/>
        <v>37458.600000000006</v>
      </c>
      <c r="F127" s="2">
        <f t="shared" si="136"/>
        <v>37304.799999999988</v>
      </c>
      <c r="G127" s="2">
        <f t="shared" si="137"/>
        <v>36537</v>
      </c>
      <c r="H127" s="2">
        <f t="shared" si="138"/>
        <v>36042</v>
      </c>
      <c r="I127" s="2">
        <f t="shared" si="139"/>
        <v>35547</v>
      </c>
      <c r="J127" s="2">
        <f t="shared" si="140"/>
        <v>35052</v>
      </c>
      <c r="K127" s="2">
        <f t="shared" si="141"/>
        <v>34557</v>
      </c>
      <c r="L127" s="2">
        <f t="shared" si="142"/>
        <v>34062</v>
      </c>
    </row>
    <row r="128" spans="1:12" x14ac:dyDescent="0.25">
      <c r="A128" s="5">
        <v>1250</v>
      </c>
      <c r="B128" s="2">
        <f t="shared" si="132"/>
        <v>38497.000000000015</v>
      </c>
      <c r="C128" s="2">
        <f t="shared" si="133"/>
        <v>38294.000000000015</v>
      </c>
      <c r="D128" s="2">
        <f t="shared" si="134"/>
        <v>38018.999999999993</v>
      </c>
      <c r="E128" s="2">
        <f t="shared" si="135"/>
        <v>37715.500000000007</v>
      </c>
      <c r="F128" s="2">
        <f t="shared" si="136"/>
        <v>37646.999999999985</v>
      </c>
      <c r="G128" s="2">
        <f t="shared" si="137"/>
        <v>36811</v>
      </c>
      <c r="H128" s="2">
        <f t="shared" si="138"/>
        <v>36316</v>
      </c>
      <c r="I128" s="2">
        <f t="shared" si="139"/>
        <v>35821</v>
      </c>
      <c r="J128" s="2">
        <f t="shared" si="140"/>
        <v>35326</v>
      </c>
      <c r="K128" s="2">
        <f t="shared" si="141"/>
        <v>34831</v>
      </c>
      <c r="L128" s="2">
        <f t="shared" si="142"/>
        <v>34336</v>
      </c>
    </row>
    <row r="129" spans="1:12" x14ac:dyDescent="0.25">
      <c r="A129" s="5">
        <v>1260</v>
      </c>
      <c r="B129" s="2">
        <f t="shared" si="132"/>
        <v>38637.800000000017</v>
      </c>
      <c r="C129" s="2">
        <f t="shared" si="133"/>
        <v>38468.800000000017</v>
      </c>
      <c r="D129" s="2">
        <f t="shared" si="134"/>
        <v>38237.599999999991</v>
      </c>
      <c r="E129" s="2">
        <f t="shared" si="135"/>
        <v>37972.400000000009</v>
      </c>
      <c r="F129" s="2">
        <f t="shared" si="136"/>
        <v>37989.199999999983</v>
      </c>
      <c r="G129" s="2">
        <f t="shared" si="137"/>
        <v>37085</v>
      </c>
      <c r="H129" s="2">
        <f t="shared" si="138"/>
        <v>36590</v>
      </c>
      <c r="I129" s="2">
        <f t="shared" si="139"/>
        <v>36095</v>
      </c>
      <c r="J129" s="2">
        <f t="shared" si="140"/>
        <v>35600</v>
      </c>
      <c r="K129" s="2">
        <f t="shared" si="141"/>
        <v>35105</v>
      </c>
      <c r="L129" s="2">
        <f t="shared" si="142"/>
        <v>34610</v>
      </c>
    </row>
    <row r="130" spans="1:12" x14ac:dyDescent="0.25">
      <c r="A130" s="5">
        <v>1270</v>
      </c>
      <c r="B130" s="2">
        <f t="shared" si="132"/>
        <v>38778.60000000002</v>
      </c>
      <c r="C130" s="2">
        <f t="shared" si="133"/>
        <v>38643.60000000002</v>
      </c>
      <c r="D130" s="2">
        <f t="shared" si="134"/>
        <v>38456.19999999999</v>
      </c>
      <c r="E130" s="2">
        <f t="shared" si="135"/>
        <v>38229.30000000001</v>
      </c>
      <c r="F130" s="2">
        <f t="shared" si="136"/>
        <v>38331.39999999998</v>
      </c>
      <c r="G130" s="2">
        <f t="shared" si="137"/>
        <v>37359</v>
      </c>
      <c r="H130" s="2">
        <f t="shared" si="138"/>
        <v>36864</v>
      </c>
      <c r="I130" s="2">
        <f t="shared" si="139"/>
        <v>36369</v>
      </c>
      <c r="J130" s="2">
        <f t="shared" si="140"/>
        <v>35874</v>
      </c>
      <c r="K130" s="2">
        <f t="shared" si="141"/>
        <v>35379</v>
      </c>
      <c r="L130" s="2">
        <f t="shared" si="142"/>
        <v>34884</v>
      </c>
    </row>
    <row r="131" spans="1:12" x14ac:dyDescent="0.25">
      <c r="A131" s="5">
        <v>1280</v>
      </c>
      <c r="B131" s="2">
        <f t="shared" si="132"/>
        <v>38919.400000000023</v>
      </c>
      <c r="C131" s="2">
        <f t="shared" si="133"/>
        <v>38818.400000000023</v>
      </c>
      <c r="D131" s="2">
        <f t="shared" si="134"/>
        <v>38674.799999999988</v>
      </c>
      <c r="E131" s="2">
        <f t="shared" si="135"/>
        <v>38486.200000000012</v>
      </c>
      <c r="F131" s="2">
        <f t="shared" si="136"/>
        <v>38673.599999999977</v>
      </c>
      <c r="G131" s="2">
        <f t="shared" si="137"/>
        <v>37633</v>
      </c>
      <c r="H131" s="2">
        <f t="shared" si="138"/>
        <v>37138</v>
      </c>
      <c r="I131" s="2">
        <f t="shared" si="139"/>
        <v>36643</v>
      </c>
      <c r="J131" s="2">
        <f t="shared" si="140"/>
        <v>36148</v>
      </c>
      <c r="K131" s="2">
        <f t="shared" si="141"/>
        <v>35653</v>
      </c>
      <c r="L131" s="2">
        <f t="shared" si="142"/>
        <v>35158</v>
      </c>
    </row>
    <row r="132" spans="1:12" x14ac:dyDescent="0.25">
      <c r="A132" s="5">
        <v>1290</v>
      </c>
      <c r="B132" s="2">
        <f t="shared" si="132"/>
        <v>39060.200000000026</v>
      </c>
      <c r="C132" s="2">
        <f t="shared" si="133"/>
        <v>38993.200000000026</v>
      </c>
      <c r="D132" s="2">
        <f t="shared" si="134"/>
        <v>38893.399999999987</v>
      </c>
      <c r="E132" s="2">
        <f t="shared" si="135"/>
        <v>38743.100000000013</v>
      </c>
      <c r="F132" s="2">
        <f t="shared" si="136"/>
        <v>39015.799999999974</v>
      </c>
      <c r="G132" s="2">
        <f t="shared" si="137"/>
        <v>37907</v>
      </c>
      <c r="H132" s="2">
        <f t="shared" si="138"/>
        <v>37412</v>
      </c>
      <c r="I132" s="2">
        <f t="shared" si="139"/>
        <v>36917</v>
      </c>
      <c r="J132" s="2">
        <f t="shared" si="140"/>
        <v>36422</v>
      </c>
      <c r="K132" s="2">
        <f t="shared" si="141"/>
        <v>35927</v>
      </c>
      <c r="L132" s="2">
        <f t="shared" si="142"/>
        <v>35432</v>
      </c>
    </row>
    <row r="133" spans="1:12" x14ac:dyDescent="0.25">
      <c r="A133" s="5">
        <v>1300</v>
      </c>
      <c r="B133" s="4">
        <v>39201</v>
      </c>
      <c r="C133" s="4">
        <v>39168</v>
      </c>
      <c r="D133" s="4">
        <v>39112</v>
      </c>
      <c r="E133" s="4">
        <v>39000</v>
      </c>
      <c r="F133" s="4">
        <v>39358</v>
      </c>
      <c r="G133" s="4">
        <v>38181</v>
      </c>
      <c r="H133" s="4">
        <v>37686</v>
      </c>
      <c r="I133" s="4">
        <v>37191</v>
      </c>
      <c r="J133" s="4">
        <v>36696</v>
      </c>
      <c r="K133" s="4">
        <v>36201</v>
      </c>
      <c r="L133" s="4">
        <v>35706</v>
      </c>
    </row>
    <row r="134" spans="1:12" x14ac:dyDescent="0.25">
      <c r="B134" s="2">
        <v>-50</v>
      </c>
      <c r="C134" s="2">
        <v>-40</v>
      </c>
      <c r="D134" s="2">
        <v>-30</v>
      </c>
      <c r="E134" s="2">
        <v>-20</v>
      </c>
      <c r="F134" s="2">
        <v>-10</v>
      </c>
      <c r="G134" s="2">
        <v>0</v>
      </c>
      <c r="H134" s="2">
        <v>10</v>
      </c>
      <c r="I134" s="2">
        <v>20</v>
      </c>
      <c r="J134" s="2">
        <v>30</v>
      </c>
      <c r="K134" s="2">
        <v>40</v>
      </c>
      <c r="L134" s="2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66B0-BB27-4818-B7E0-8154785A77D6}">
  <sheetPr codeName="Planilha3"/>
  <dimension ref="A1:L133"/>
  <sheetViews>
    <sheetView topLeftCell="A109" zoomScale="96" zoomScaleNormal="96" workbookViewId="0">
      <selection sqref="A1:L133"/>
    </sheetView>
  </sheetViews>
  <sheetFormatPr defaultRowHeight="15" x14ac:dyDescent="0.25"/>
  <sheetData>
    <row r="1" spans="1:12" x14ac:dyDescent="0.25">
      <c r="A1" s="6" t="s">
        <v>10</v>
      </c>
      <c r="B1" s="32" t="s">
        <v>12</v>
      </c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x14ac:dyDescent="0.25">
      <c r="A2" s="6"/>
      <c r="B2" s="9">
        <v>-50</v>
      </c>
      <c r="C2" s="9">
        <v>-40</v>
      </c>
      <c r="D2" s="9">
        <v>-30</v>
      </c>
      <c r="E2" s="9">
        <v>-20</v>
      </c>
      <c r="F2" s="9">
        <v>-10</v>
      </c>
      <c r="G2" s="9">
        <v>0</v>
      </c>
      <c r="H2" s="9">
        <v>10</v>
      </c>
      <c r="I2" s="9">
        <v>20</v>
      </c>
      <c r="J2" s="9">
        <v>30</v>
      </c>
      <c r="K2" s="9">
        <v>40</v>
      </c>
      <c r="L2" s="9">
        <v>50</v>
      </c>
    </row>
    <row r="3" spans="1:12" x14ac:dyDescent="0.25">
      <c r="A3" s="5">
        <v>0</v>
      </c>
      <c r="B3" s="4">
        <v>14</v>
      </c>
      <c r="C3" s="4">
        <v>14</v>
      </c>
      <c r="D3" s="4">
        <v>14</v>
      </c>
      <c r="E3" s="4">
        <v>14</v>
      </c>
      <c r="F3" s="4">
        <v>14</v>
      </c>
      <c r="G3" s="4">
        <v>14</v>
      </c>
      <c r="H3" s="4">
        <v>14</v>
      </c>
      <c r="I3" s="4">
        <v>14</v>
      </c>
      <c r="J3" s="4">
        <v>14</v>
      </c>
      <c r="K3" s="4">
        <v>14</v>
      </c>
      <c r="L3" s="4">
        <v>14</v>
      </c>
    </row>
    <row r="4" spans="1:12" x14ac:dyDescent="0.25">
      <c r="A4" s="5">
        <v>10</v>
      </c>
      <c r="B4" s="2">
        <f t="shared" ref="B4:B12" si="0">((B$13-B$3)/10)+B3</f>
        <v>21.2</v>
      </c>
      <c r="C4" s="2">
        <f t="shared" ref="C4:C12" si="1">((C$13-C$3)/10)+C3</f>
        <v>21.3</v>
      </c>
      <c r="D4" s="2">
        <f t="shared" ref="D4:D12" si="2">((D$13-D$3)/10)+D3</f>
        <v>21.4</v>
      </c>
      <c r="E4" s="2">
        <f t="shared" ref="E4:E12" si="3">((E$13-E$3)/10)+E3</f>
        <v>21.5</v>
      </c>
      <c r="F4" s="2">
        <f t="shared" ref="F4:F12" si="4">((F$13-F$3)/10)+F3</f>
        <v>21.6</v>
      </c>
      <c r="G4" s="2">
        <f t="shared" ref="G4:G12" si="5">((G$13-G$3)/10)+G3</f>
        <v>21.7</v>
      </c>
      <c r="H4" s="2">
        <f t="shared" ref="H4:H12" si="6">((H$13-H$3)/10)+H3</f>
        <v>21.8</v>
      </c>
      <c r="I4" s="2">
        <f t="shared" ref="I4:I12" si="7">((I$13-I$3)/10)+I3</f>
        <v>21.9</v>
      </c>
      <c r="J4" s="2">
        <f t="shared" ref="J4:J12" si="8">((J$13-J$3)/10)+J3</f>
        <v>22.2</v>
      </c>
      <c r="K4" s="2">
        <f t="shared" ref="K4:K12" si="9">((K$13-K$3)/10)+K3</f>
        <v>22.3</v>
      </c>
      <c r="L4" s="2">
        <f t="shared" ref="L4:L12" si="10">((L$13-L$3)/10)+L3</f>
        <v>22.5</v>
      </c>
    </row>
    <row r="5" spans="1:12" x14ac:dyDescent="0.25">
      <c r="A5" s="5">
        <v>20</v>
      </c>
      <c r="B5" s="2">
        <f t="shared" si="0"/>
        <v>28.4</v>
      </c>
      <c r="C5" s="2">
        <f t="shared" si="1"/>
        <v>28.6</v>
      </c>
      <c r="D5" s="2">
        <f t="shared" si="2"/>
        <v>28.799999999999997</v>
      </c>
      <c r="E5" s="2">
        <f t="shared" si="3"/>
        <v>29</v>
      </c>
      <c r="F5" s="2">
        <f t="shared" si="4"/>
        <v>29.200000000000003</v>
      </c>
      <c r="G5" s="2">
        <f t="shared" si="5"/>
        <v>29.4</v>
      </c>
      <c r="H5" s="2">
        <f t="shared" si="6"/>
        <v>29.6</v>
      </c>
      <c r="I5" s="2">
        <f t="shared" si="7"/>
        <v>29.799999999999997</v>
      </c>
      <c r="J5" s="2">
        <f t="shared" si="8"/>
        <v>30.4</v>
      </c>
      <c r="K5" s="2">
        <f t="shared" si="9"/>
        <v>30.6</v>
      </c>
      <c r="L5" s="2">
        <f t="shared" si="10"/>
        <v>31</v>
      </c>
    </row>
    <row r="6" spans="1:12" x14ac:dyDescent="0.25">
      <c r="A6" s="5">
        <v>30</v>
      </c>
      <c r="B6" s="2">
        <f t="shared" si="0"/>
        <v>35.6</v>
      </c>
      <c r="C6" s="2">
        <f t="shared" si="1"/>
        <v>35.9</v>
      </c>
      <c r="D6" s="2">
        <f t="shared" si="2"/>
        <v>36.199999999999996</v>
      </c>
      <c r="E6" s="2">
        <f t="shared" si="3"/>
        <v>36.5</v>
      </c>
      <c r="F6" s="2">
        <f t="shared" si="4"/>
        <v>36.800000000000004</v>
      </c>
      <c r="G6" s="2">
        <f t="shared" si="5"/>
        <v>37.1</v>
      </c>
      <c r="H6" s="2">
        <f t="shared" si="6"/>
        <v>37.4</v>
      </c>
      <c r="I6" s="2">
        <f t="shared" si="7"/>
        <v>37.699999999999996</v>
      </c>
      <c r="J6" s="2">
        <f t="shared" si="8"/>
        <v>38.599999999999994</v>
      </c>
      <c r="K6" s="2">
        <f t="shared" si="9"/>
        <v>38.900000000000006</v>
      </c>
      <c r="L6" s="2">
        <f t="shared" si="10"/>
        <v>39.5</v>
      </c>
    </row>
    <row r="7" spans="1:12" x14ac:dyDescent="0.25">
      <c r="A7" s="5">
        <v>40</v>
      </c>
      <c r="B7" s="2">
        <f t="shared" si="0"/>
        <v>42.800000000000004</v>
      </c>
      <c r="C7" s="2">
        <f t="shared" si="1"/>
        <v>43.199999999999996</v>
      </c>
      <c r="D7" s="2">
        <f t="shared" si="2"/>
        <v>43.599999999999994</v>
      </c>
      <c r="E7" s="2">
        <f t="shared" si="3"/>
        <v>44</v>
      </c>
      <c r="F7" s="2">
        <f t="shared" si="4"/>
        <v>44.400000000000006</v>
      </c>
      <c r="G7" s="2">
        <f t="shared" si="5"/>
        <v>44.800000000000004</v>
      </c>
      <c r="H7" s="2">
        <f t="shared" si="6"/>
        <v>45.199999999999996</v>
      </c>
      <c r="I7" s="2">
        <f t="shared" si="7"/>
        <v>45.599999999999994</v>
      </c>
      <c r="J7" s="2">
        <f t="shared" si="8"/>
        <v>46.8</v>
      </c>
      <c r="K7" s="2">
        <f t="shared" si="9"/>
        <v>47.2</v>
      </c>
      <c r="L7" s="2">
        <f t="shared" si="10"/>
        <v>48</v>
      </c>
    </row>
    <row r="8" spans="1:12" x14ac:dyDescent="0.25">
      <c r="A8" s="5">
        <v>50</v>
      </c>
      <c r="B8" s="2">
        <f t="shared" si="0"/>
        <v>50.000000000000007</v>
      </c>
      <c r="C8" s="2">
        <f t="shared" si="1"/>
        <v>50.499999999999993</v>
      </c>
      <c r="D8" s="2">
        <f t="shared" si="2"/>
        <v>50.999999999999993</v>
      </c>
      <c r="E8" s="2">
        <f t="shared" si="3"/>
        <v>51.5</v>
      </c>
      <c r="F8" s="2">
        <f t="shared" si="4"/>
        <v>52.000000000000007</v>
      </c>
      <c r="G8" s="2">
        <f t="shared" si="5"/>
        <v>52.500000000000007</v>
      </c>
      <c r="H8" s="2">
        <f t="shared" si="6"/>
        <v>52.999999999999993</v>
      </c>
      <c r="I8" s="2">
        <f t="shared" si="7"/>
        <v>53.499999999999993</v>
      </c>
      <c r="J8" s="2">
        <f t="shared" si="8"/>
        <v>55</v>
      </c>
      <c r="K8" s="2">
        <f t="shared" si="9"/>
        <v>55.5</v>
      </c>
      <c r="L8" s="2">
        <f t="shared" si="10"/>
        <v>56.5</v>
      </c>
    </row>
    <row r="9" spans="1:12" x14ac:dyDescent="0.25">
      <c r="A9" s="5">
        <v>60</v>
      </c>
      <c r="B9" s="2">
        <f t="shared" si="0"/>
        <v>57.20000000000001</v>
      </c>
      <c r="C9" s="2">
        <f t="shared" si="1"/>
        <v>57.79999999999999</v>
      </c>
      <c r="D9" s="2">
        <f t="shared" si="2"/>
        <v>58.399999999999991</v>
      </c>
      <c r="E9" s="2">
        <f t="shared" si="3"/>
        <v>59</v>
      </c>
      <c r="F9" s="2">
        <f t="shared" si="4"/>
        <v>59.600000000000009</v>
      </c>
      <c r="G9" s="2">
        <f t="shared" si="5"/>
        <v>60.20000000000001</v>
      </c>
      <c r="H9" s="2">
        <f t="shared" si="6"/>
        <v>60.79999999999999</v>
      </c>
      <c r="I9" s="2">
        <f t="shared" si="7"/>
        <v>61.399999999999991</v>
      </c>
      <c r="J9" s="2">
        <f t="shared" si="8"/>
        <v>63.2</v>
      </c>
      <c r="K9" s="2">
        <f t="shared" si="9"/>
        <v>63.8</v>
      </c>
      <c r="L9" s="2">
        <f t="shared" si="10"/>
        <v>65</v>
      </c>
    </row>
    <row r="10" spans="1:12" x14ac:dyDescent="0.25">
      <c r="A10" s="5">
        <v>70</v>
      </c>
      <c r="B10" s="2">
        <f t="shared" si="0"/>
        <v>64.400000000000006</v>
      </c>
      <c r="C10" s="2">
        <f t="shared" si="1"/>
        <v>65.099999999999994</v>
      </c>
      <c r="D10" s="2">
        <f t="shared" si="2"/>
        <v>65.8</v>
      </c>
      <c r="E10" s="2">
        <f t="shared" si="3"/>
        <v>66.5</v>
      </c>
      <c r="F10" s="2">
        <f t="shared" si="4"/>
        <v>67.2</v>
      </c>
      <c r="G10" s="2">
        <f t="shared" si="5"/>
        <v>67.900000000000006</v>
      </c>
      <c r="H10" s="2">
        <f t="shared" si="6"/>
        <v>68.599999999999994</v>
      </c>
      <c r="I10" s="2">
        <f t="shared" si="7"/>
        <v>69.3</v>
      </c>
      <c r="J10" s="2">
        <f t="shared" si="8"/>
        <v>71.400000000000006</v>
      </c>
      <c r="K10" s="2">
        <f t="shared" si="9"/>
        <v>72.099999999999994</v>
      </c>
      <c r="L10" s="2">
        <f t="shared" si="10"/>
        <v>73.5</v>
      </c>
    </row>
    <row r="11" spans="1:12" x14ac:dyDescent="0.25">
      <c r="A11" s="5">
        <v>80</v>
      </c>
      <c r="B11" s="2">
        <f t="shared" si="0"/>
        <v>71.600000000000009</v>
      </c>
      <c r="C11" s="2">
        <f t="shared" si="1"/>
        <v>72.399999999999991</v>
      </c>
      <c r="D11" s="2">
        <f t="shared" si="2"/>
        <v>73.2</v>
      </c>
      <c r="E11" s="2">
        <f t="shared" si="3"/>
        <v>74</v>
      </c>
      <c r="F11" s="2">
        <f t="shared" si="4"/>
        <v>74.8</v>
      </c>
      <c r="G11" s="2">
        <f t="shared" si="5"/>
        <v>75.600000000000009</v>
      </c>
      <c r="H11" s="2">
        <f t="shared" si="6"/>
        <v>76.399999999999991</v>
      </c>
      <c r="I11" s="2">
        <f t="shared" si="7"/>
        <v>77.2</v>
      </c>
      <c r="J11" s="2">
        <f t="shared" si="8"/>
        <v>79.600000000000009</v>
      </c>
      <c r="K11" s="2">
        <f t="shared" si="9"/>
        <v>80.399999999999991</v>
      </c>
      <c r="L11" s="2">
        <f t="shared" si="10"/>
        <v>82</v>
      </c>
    </row>
    <row r="12" spans="1:12" x14ac:dyDescent="0.25">
      <c r="A12" s="5">
        <v>90</v>
      </c>
      <c r="B12" s="2">
        <f t="shared" si="0"/>
        <v>78.800000000000011</v>
      </c>
      <c r="C12" s="2">
        <f t="shared" si="1"/>
        <v>79.699999999999989</v>
      </c>
      <c r="D12" s="2">
        <f t="shared" si="2"/>
        <v>80.600000000000009</v>
      </c>
      <c r="E12" s="2">
        <f t="shared" si="3"/>
        <v>81.5</v>
      </c>
      <c r="F12" s="2">
        <f t="shared" si="4"/>
        <v>82.399999999999991</v>
      </c>
      <c r="G12" s="2">
        <f t="shared" si="5"/>
        <v>83.300000000000011</v>
      </c>
      <c r="H12" s="2">
        <f t="shared" si="6"/>
        <v>84.199999999999989</v>
      </c>
      <c r="I12" s="2">
        <f t="shared" si="7"/>
        <v>85.100000000000009</v>
      </c>
      <c r="J12" s="2">
        <f t="shared" si="8"/>
        <v>87.800000000000011</v>
      </c>
      <c r="K12" s="2">
        <f t="shared" si="9"/>
        <v>88.699999999999989</v>
      </c>
      <c r="L12" s="2">
        <f t="shared" si="10"/>
        <v>90.5</v>
      </c>
    </row>
    <row r="13" spans="1:12" x14ac:dyDescent="0.25">
      <c r="A13" s="5">
        <v>100</v>
      </c>
      <c r="B13" s="4">
        <v>86</v>
      </c>
      <c r="C13" s="4">
        <v>87</v>
      </c>
      <c r="D13" s="4">
        <v>88</v>
      </c>
      <c r="E13" s="4">
        <v>89</v>
      </c>
      <c r="F13" s="4">
        <v>90</v>
      </c>
      <c r="G13" s="4">
        <v>91</v>
      </c>
      <c r="H13" s="4">
        <v>92</v>
      </c>
      <c r="I13" s="4">
        <v>93</v>
      </c>
      <c r="J13" s="4">
        <v>96</v>
      </c>
      <c r="K13" s="4">
        <v>97</v>
      </c>
      <c r="L13" s="4">
        <v>99</v>
      </c>
    </row>
    <row r="14" spans="1:12" x14ac:dyDescent="0.25">
      <c r="A14" s="5">
        <v>110</v>
      </c>
      <c r="B14" s="2">
        <f t="shared" ref="B14:B22" si="11">((B$23-B$13)/10)+B13</f>
        <v>102.8</v>
      </c>
      <c r="C14" s="2">
        <f t="shared" ref="C14:C22" si="12">((C$23-C$13)/10)+C13</f>
        <v>104</v>
      </c>
      <c r="D14" s="2">
        <f t="shared" ref="D14:D22" si="13">((D$23-D$13)/10)+D13</f>
        <v>105.3</v>
      </c>
      <c r="E14" s="2">
        <f t="shared" ref="E14:E22" si="14">((E$23-E$13)/10)+E13</f>
        <v>106.6</v>
      </c>
      <c r="F14" s="2">
        <f t="shared" ref="F14:F22" si="15">((F$23-F$13)/10)+F13</f>
        <v>107.9</v>
      </c>
      <c r="G14" s="2">
        <f t="shared" ref="G14:G22" si="16">((G$23-G$13)/10)+G13</f>
        <v>109.2</v>
      </c>
      <c r="H14" s="2">
        <f t="shared" ref="H14:H22" si="17">((H$23-H$13)/10)+H13</f>
        <v>110.6</v>
      </c>
      <c r="I14" s="2">
        <f t="shared" ref="I14:I22" si="18">((I$23-I$13)/10)+I13</f>
        <v>112</v>
      </c>
      <c r="J14" s="2">
        <f t="shared" ref="J14:J22" si="19">((J$23-J$13)/10)+J13</f>
        <v>115.2</v>
      </c>
      <c r="K14" s="2">
        <f t="shared" ref="K14:K22" si="20">((K$23-K$13)/10)+K13</f>
        <v>116.7</v>
      </c>
      <c r="L14" s="2">
        <f t="shared" ref="L14:L22" si="21">((L$23-L$13)/10)+L13</f>
        <v>119.1</v>
      </c>
    </row>
    <row r="15" spans="1:12" x14ac:dyDescent="0.25">
      <c r="A15" s="5">
        <v>120</v>
      </c>
      <c r="B15" s="2">
        <f t="shared" si="11"/>
        <v>119.6</v>
      </c>
      <c r="C15" s="2">
        <f t="shared" si="12"/>
        <v>121</v>
      </c>
      <c r="D15" s="2">
        <f t="shared" si="13"/>
        <v>122.6</v>
      </c>
      <c r="E15" s="2">
        <f t="shared" si="14"/>
        <v>124.19999999999999</v>
      </c>
      <c r="F15" s="2">
        <f t="shared" si="15"/>
        <v>125.80000000000001</v>
      </c>
      <c r="G15" s="2">
        <f t="shared" si="16"/>
        <v>127.4</v>
      </c>
      <c r="H15" s="2">
        <f t="shared" si="17"/>
        <v>129.19999999999999</v>
      </c>
      <c r="I15" s="2">
        <f t="shared" si="18"/>
        <v>131</v>
      </c>
      <c r="J15" s="2">
        <f t="shared" si="19"/>
        <v>134.4</v>
      </c>
      <c r="K15" s="2">
        <f t="shared" si="20"/>
        <v>136.4</v>
      </c>
      <c r="L15" s="2">
        <f t="shared" si="21"/>
        <v>139.19999999999999</v>
      </c>
    </row>
    <row r="16" spans="1:12" x14ac:dyDescent="0.25">
      <c r="A16" s="5">
        <v>130</v>
      </c>
      <c r="B16" s="2">
        <f t="shared" si="11"/>
        <v>136.4</v>
      </c>
      <c r="C16" s="2">
        <f t="shared" si="12"/>
        <v>138</v>
      </c>
      <c r="D16" s="2">
        <f t="shared" si="13"/>
        <v>139.9</v>
      </c>
      <c r="E16" s="2">
        <f t="shared" si="14"/>
        <v>141.79999999999998</v>
      </c>
      <c r="F16" s="2">
        <f t="shared" si="15"/>
        <v>143.70000000000002</v>
      </c>
      <c r="G16" s="2">
        <f t="shared" si="16"/>
        <v>145.6</v>
      </c>
      <c r="H16" s="2">
        <f t="shared" si="17"/>
        <v>147.79999999999998</v>
      </c>
      <c r="I16" s="2">
        <f t="shared" si="18"/>
        <v>150</v>
      </c>
      <c r="J16" s="2">
        <f t="shared" si="19"/>
        <v>153.6</v>
      </c>
      <c r="K16" s="2">
        <f t="shared" si="20"/>
        <v>156.1</v>
      </c>
      <c r="L16" s="2">
        <f t="shared" si="21"/>
        <v>159.29999999999998</v>
      </c>
    </row>
    <row r="17" spans="1:12" x14ac:dyDescent="0.25">
      <c r="A17" s="5">
        <v>140</v>
      </c>
      <c r="B17" s="2">
        <f t="shared" si="11"/>
        <v>153.20000000000002</v>
      </c>
      <c r="C17" s="2">
        <f t="shared" si="12"/>
        <v>155</v>
      </c>
      <c r="D17" s="2">
        <f t="shared" si="13"/>
        <v>157.20000000000002</v>
      </c>
      <c r="E17" s="2">
        <f t="shared" si="14"/>
        <v>159.39999999999998</v>
      </c>
      <c r="F17" s="2">
        <f t="shared" si="15"/>
        <v>161.60000000000002</v>
      </c>
      <c r="G17" s="2">
        <f t="shared" si="16"/>
        <v>163.79999999999998</v>
      </c>
      <c r="H17" s="2">
        <f t="shared" si="17"/>
        <v>166.39999999999998</v>
      </c>
      <c r="I17" s="2">
        <f t="shared" si="18"/>
        <v>169</v>
      </c>
      <c r="J17" s="2">
        <f t="shared" si="19"/>
        <v>172.79999999999998</v>
      </c>
      <c r="K17" s="2">
        <f t="shared" si="20"/>
        <v>175.79999999999998</v>
      </c>
      <c r="L17" s="2">
        <f t="shared" si="21"/>
        <v>179.39999999999998</v>
      </c>
    </row>
    <row r="18" spans="1:12" x14ac:dyDescent="0.25">
      <c r="A18" s="5">
        <v>150</v>
      </c>
      <c r="B18" s="2">
        <f t="shared" si="11"/>
        <v>170.00000000000003</v>
      </c>
      <c r="C18" s="2">
        <f t="shared" si="12"/>
        <v>172</v>
      </c>
      <c r="D18" s="2">
        <f t="shared" si="13"/>
        <v>174.50000000000003</v>
      </c>
      <c r="E18" s="2">
        <f t="shared" si="14"/>
        <v>176.99999999999997</v>
      </c>
      <c r="F18" s="2">
        <f t="shared" si="15"/>
        <v>179.50000000000003</v>
      </c>
      <c r="G18" s="2">
        <f t="shared" si="16"/>
        <v>181.99999999999997</v>
      </c>
      <c r="H18" s="2">
        <f t="shared" si="17"/>
        <v>184.99999999999997</v>
      </c>
      <c r="I18" s="2">
        <f t="shared" si="18"/>
        <v>188</v>
      </c>
      <c r="J18" s="2">
        <f t="shared" si="19"/>
        <v>191.99999999999997</v>
      </c>
      <c r="K18" s="2">
        <f t="shared" si="20"/>
        <v>195.49999999999997</v>
      </c>
      <c r="L18" s="2">
        <f t="shared" si="21"/>
        <v>199.49999999999997</v>
      </c>
    </row>
    <row r="19" spans="1:12" x14ac:dyDescent="0.25">
      <c r="A19" s="5">
        <v>160</v>
      </c>
      <c r="B19" s="2">
        <f t="shared" si="11"/>
        <v>186.80000000000004</v>
      </c>
      <c r="C19" s="2">
        <f t="shared" si="12"/>
        <v>189</v>
      </c>
      <c r="D19" s="2">
        <f t="shared" si="13"/>
        <v>191.80000000000004</v>
      </c>
      <c r="E19" s="2">
        <f t="shared" si="14"/>
        <v>194.59999999999997</v>
      </c>
      <c r="F19" s="2">
        <f t="shared" si="15"/>
        <v>197.40000000000003</v>
      </c>
      <c r="G19" s="2">
        <f t="shared" si="16"/>
        <v>200.19999999999996</v>
      </c>
      <c r="H19" s="2">
        <f t="shared" si="17"/>
        <v>203.59999999999997</v>
      </c>
      <c r="I19" s="2">
        <f t="shared" si="18"/>
        <v>207</v>
      </c>
      <c r="J19" s="2">
        <f t="shared" si="19"/>
        <v>211.19999999999996</v>
      </c>
      <c r="K19" s="2">
        <f t="shared" si="20"/>
        <v>215.19999999999996</v>
      </c>
      <c r="L19" s="2">
        <f t="shared" si="21"/>
        <v>219.59999999999997</v>
      </c>
    </row>
    <row r="20" spans="1:12" x14ac:dyDescent="0.25">
      <c r="A20" s="5">
        <v>170</v>
      </c>
      <c r="B20" s="2">
        <f t="shared" si="11"/>
        <v>203.60000000000005</v>
      </c>
      <c r="C20" s="2">
        <f t="shared" si="12"/>
        <v>206</v>
      </c>
      <c r="D20" s="2">
        <f t="shared" si="13"/>
        <v>209.10000000000005</v>
      </c>
      <c r="E20" s="2">
        <f t="shared" si="14"/>
        <v>212.19999999999996</v>
      </c>
      <c r="F20" s="2">
        <f t="shared" si="15"/>
        <v>215.30000000000004</v>
      </c>
      <c r="G20" s="2">
        <f t="shared" si="16"/>
        <v>218.39999999999995</v>
      </c>
      <c r="H20" s="2">
        <f t="shared" si="17"/>
        <v>222.19999999999996</v>
      </c>
      <c r="I20" s="2">
        <f t="shared" si="18"/>
        <v>226</v>
      </c>
      <c r="J20" s="2">
        <f t="shared" si="19"/>
        <v>230.39999999999995</v>
      </c>
      <c r="K20" s="2">
        <f t="shared" si="20"/>
        <v>234.89999999999995</v>
      </c>
      <c r="L20" s="2">
        <f t="shared" si="21"/>
        <v>239.69999999999996</v>
      </c>
    </row>
    <row r="21" spans="1:12" x14ac:dyDescent="0.25">
      <c r="A21" s="5">
        <v>180</v>
      </c>
      <c r="B21" s="2">
        <f t="shared" si="11"/>
        <v>220.40000000000006</v>
      </c>
      <c r="C21" s="2">
        <f t="shared" si="12"/>
        <v>223</v>
      </c>
      <c r="D21" s="2">
        <f t="shared" si="13"/>
        <v>226.40000000000006</v>
      </c>
      <c r="E21" s="2">
        <f t="shared" si="14"/>
        <v>229.79999999999995</v>
      </c>
      <c r="F21" s="2">
        <f t="shared" si="15"/>
        <v>233.20000000000005</v>
      </c>
      <c r="G21" s="2">
        <f t="shared" si="16"/>
        <v>236.59999999999994</v>
      </c>
      <c r="H21" s="2">
        <f t="shared" si="17"/>
        <v>240.79999999999995</v>
      </c>
      <c r="I21" s="2">
        <f t="shared" si="18"/>
        <v>245</v>
      </c>
      <c r="J21" s="2">
        <f t="shared" si="19"/>
        <v>249.59999999999994</v>
      </c>
      <c r="K21" s="2">
        <f t="shared" si="20"/>
        <v>254.59999999999994</v>
      </c>
      <c r="L21" s="2">
        <f t="shared" si="21"/>
        <v>259.79999999999995</v>
      </c>
    </row>
    <row r="22" spans="1:12" x14ac:dyDescent="0.25">
      <c r="A22" s="5">
        <v>190</v>
      </c>
      <c r="B22" s="2">
        <f t="shared" si="11"/>
        <v>237.20000000000007</v>
      </c>
      <c r="C22" s="2">
        <f t="shared" si="12"/>
        <v>240</v>
      </c>
      <c r="D22" s="2">
        <f t="shared" si="13"/>
        <v>243.70000000000007</v>
      </c>
      <c r="E22" s="2">
        <f t="shared" si="14"/>
        <v>247.39999999999995</v>
      </c>
      <c r="F22" s="2">
        <f t="shared" si="15"/>
        <v>251.10000000000005</v>
      </c>
      <c r="G22" s="2">
        <f t="shared" si="16"/>
        <v>254.79999999999993</v>
      </c>
      <c r="H22" s="2">
        <f t="shared" si="17"/>
        <v>259.39999999999998</v>
      </c>
      <c r="I22" s="2">
        <f t="shared" si="18"/>
        <v>264</v>
      </c>
      <c r="J22" s="2">
        <f t="shared" si="19"/>
        <v>268.79999999999995</v>
      </c>
      <c r="K22" s="2">
        <f t="shared" si="20"/>
        <v>274.29999999999995</v>
      </c>
      <c r="L22" s="2">
        <f t="shared" si="21"/>
        <v>279.89999999999998</v>
      </c>
    </row>
    <row r="23" spans="1:12" x14ac:dyDescent="0.25">
      <c r="A23" s="5">
        <v>200</v>
      </c>
      <c r="B23" s="4">
        <v>254</v>
      </c>
      <c r="C23" s="4">
        <v>257</v>
      </c>
      <c r="D23" s="4">
        <v>261</v>
      </c>
      <c r="E23" s="4">
        <v>265</v>
      </c>
      <c r="F23" s="4">
        <v>269</v>
      </c>
      <c r="G23" s="4">
        <v>273</v>
      </c>
      <c r="H23" s="4">
        <v>278</v>
      </c>
      <c r="I23" s="4">
        <v>283</v>
      </c>
      <c r="J23" s="4">
        <v>288</v>
      </c>
      <c r="K23" s="4">
        <v>294</v>
      </c>
      <c r="L23" s="4">
        <v>300</v>
      </c>
    </row>
    <row r="24" spans="1:12" x14ac:dyDescent="0.25">
      <c r="A24" s="5">
        <v>210</v>
      </c>
      <c r="B24" s="2">
        <f t="shared" ref="B24:B32" si="22">((B$33-B$23)/10)+B23</f>
        <v>283.89999999999998</v>
      </c>
      <c r="C24" s="2">
        <f t="shared" ref="C24:C32" si="23">((C$33-C$23)/10)+C23</f>
        <v>287.5</v>
      </c>
      <c r="D24" s="2">
        <f t="shared" ref="D24:D32" si="24">((D$33-D$23)/10)+D23</f>
        <v>292</v>
      </c>
      <c r="E24" s="2">
        <f t="shared" ref="E24:E32" si="25">((E$33-E$23)/10)+E23</f>
        <v>296.39999999999998</v>
      </c>
      <c r="F24" s="2">
        <f t="shared" ref="F24:F32" si="26">((F$33-F$23)/10)+F23</f>
        <v>301</v>
      </c>
      <c r="G24" s="2">
        <f t="shared" ref="G24:G32" si="27">((G$33-G$23)/10)+G23</f>
        <v>305.5</v>
      </c>
      <c r="H24" s="2">
        <f t="shared" ref="H24:H32" si="28">((H$33-H$23)/10)+H23</f>
        <v>311</v>
      </c>
      <c r="I24" s="2">
        <f t="shared" ref="I24:I32" si="29">((I$33-I$23)/10)+I23</f>
        <v>316.5</v>
      </c>
      <c r="J24" s="2">
        <f t="shared" ref="J24:J32" si="30">((J$33-J$23)/10)+J23</f>
        <v>322.10000000000002</v>
      </c>
      <c r="K24" s="2">
        <f t="shared" ref="K24:K32" si="31">((K$33-K$23)/10)+K23</f>
        <v>328.6</v>
      </c>
      <c r="L24" s="2">
        <f t="shared" ref="L24:L32" si="32">((L$33-L$23)/10)+L23</f>
        <v>335.1</v>
      </c>
    </row>
    <row r="25" spans="1:12" x14ac:dyDescent="0.25">
      <c r="A25" s="5">
        <v>220</v>
      </c>
      <c r="B25" s="2">
        <f t="shared" si="22"/>
        <v>313.79999999999995</v>
      </c>
      <c r="C25" s="2">
        <f t="shared" si="23"/>
        <v>318</v>
      </c>
      <c r="D25" s="2">
        <f t="shared" si="24"/>
        <v>323</v>
      </c>
      <c r="E25" s="2">
        <f t="shared" si="25"/>
        <v>327.79999999999995</v>
      </c>
      <c r="F25" s="2">
        <f t="shared" si="26"/>
        <v>333</v>
      </c>
      <c r="G25" s="2">
        <f t="shared" si="27"/>
        <v>338</v>
      </c>
      <c r="H25" s="2">
        <f t="shared" si="28"/>
        <v>344</v>
      </c>
      <c r="I25" s="2">
        <f t="shared" si="29"/>
        <v>350</v>
      </c>
      <c r="J25" s="2">
        <f t="shared" si="30"/>
        <v>356.20000000000005</v>
      </c>
      <c r="K25" s="2">
        <f t="shared" si="31"/>
        <v>363.20000000000005</v>
      </c>
      <c r="L25" s="2">
        <f t="shared" si="32"/>
        <v>370.20000000000005</v>
      </c>
    </row>
    <row r="26" spans="1:12" x14ac:dyDescent="0.25">
      <c r="A26" s="5">
        <v>230</v>
      </c>
      <c r="B26" s="2">
        <f t="shared" si="22"/>
        <v>343.69999999999993</v>
      </c>
      <c r="C26" s="2">
        <f t="shared" si="23"/>
        <v>348.5</v>
      </c>
      <c r="D26" s="2">
        <f t="shared" si="24"/>
        <v>354</v>
      </c>
      <c r="E26" s="2">
        <f t="shared" si="25"/>
        <v>359.19999999999993</v>
      </c>
      <c r="F26" s="2">
        <f t="shared" si="26"/>
        <v>365</v>
      </c>
      <c r="G26" s="2">
        <f t="shared" si="27"/>
        <v>370.5</v>
      </c>
      <c r="H26" s="2">
        <f t="shared" si="28"/>
        <v>377</v>
      </c>
      <c r="I26" s="2">
        <f t="shared" si="29"/>
        <v>383.5</v>
      </c>
      <c r="J26" s="2">
        <f t="shared" si="30"/>
        <v>390.30000000000007</v>
      </c>
      <c r="K26" s="2">
        <f t="shared" si="31"/>
        <v>397.80000000000007</v>
      </c>
      <c r="L26" s="2">
        <f t="shared" si="32"/>
        <v>405.30000000000007</v>
      </c>
    </row>
    <row r="27" spans="1:12" x14ac:dyDescent="0.25">
      <c r="A27" s="5">
        <v>240</v>
      </c>
      <c r="B27" s="2">
        <f t="shared" si="22"/>
        <v>373.59999999999991</v>
      </c>
      <c r="C27" s="2">
        <f t="shared" si="23"/>
        <v>379</v>
      </c>
      <c r="D27" s="2">
        <f t="shared" si="24"/>
        <v>385</v>
      </c>
      <c r="E27" s="2">
        <f t="shared" si="25"/>
        <v>390.59999999999991</v>
      </c>
      <c r="F27" s="2">
        <f t="shared" si="26"/>
        <v>397</v>
      </c>
      <c r="G27" s="2">
        <f t="shared" si="27"/>
        <v>403</v>
      </c>
      <c r="H27" s="2">
        <f t="shared" si="28"/>
        <v>410</v>
      </c>
      <c r="I27" s="2">
        <f t="shared" si="29"/>
        <v>417</v>
      </c>
      <c r="J27" s="2">
        <f t="shared" si="30"/>
        <v>424.40000000000009</v>
      </c>
      <c r="K27" s="2">
        <f t="shared" si="31"/>
        <v>432.40000000000009</v>
      </c>
      <c r="L27" s="2">
        <f t="shared" si="32"/>
        <v>440.40000000000009</v>
      </c>
    </row>
    <row r="28" spans="1:12" x14ac:dyDescent="0.25">
      <c r="A28" s="5">
        <v>250</v>
      </c>
      <c r="B28" s="2">
        <f t="shared" si="22"/>
        <v>403.49999999999989</v>
      </c>
      <c r="C28" s="2">
        <f t="shared" si="23"/>
        <v>409.5</v>
      </c>
      <c r="D28" s="2">
        <f t="shared" si="24"/>
        <v>416</v>
      </c>
      <c r="E28" s="2">
        <f t="shared" si="25"/>
        <v>421.99999999999989</v>
      </c>
      <c r="F28" s="2">
        <f t="shared" si="26"/>
        <v>429</v>
      </c>
      <c r="G28" s="2">
        <f t="shared" si="27"/>
        <v>435.5</v>
      </c>
      <c r="H28" s="2">
        <f t="shared" si="28"/>
        <v>443</v>
      </c>
      <c r="I28" s="2">
        <f t="shared" si="29"/>
        <v>450.5</v>
      </c>
      <c r="J28" s="2">
        <f t="shared" si="30"/>
        <v>458.50000000000011</v>
      </c>
      <c r="K28" s="2">
        <f t="shared" si="31"/>
        <v>467.00000000000011</v>
      </c>
      <c r="L28" s="2">
        <f t="shared" si="32"/>
        <v>475.50000000000011</v>
      </c>
    </row>
    <row r="29" spans="1:12" x14ac:dyDescent="0.25">
      <c r="A29" s="5">
        <v>260</v>
      </c>
      <c r="B29" s="2">
        <f t="shared" si="22"/>
        <v>433.39999999999986</v>
      </c>
      <c r="C29" s="2">
        <f t="shared" si="23"/>
        <v>440</v>
      </c>
      <c r="D29" s="2">
        <f t="shared" si="24"/>
        <v>447</v>
      </c>
      <c r="E29" s="2">
        <f t="shared" si="25"/>
        <v>453.39999999999986</v>
      </c>
      <c r="F29" s="2">
        <f t="shared" si="26"/>
        <v>461</v>
      </c>
      <c r="G29" s="2">
        <f t="shared" si="27"/>
        <v>468</v>
      </c>
      <c r="H29" s="2">
        <f t="shared" si="28"/>
        <v>476</v>
      </c>
      <c r="I29" s="2">
        <f t="shared" si="29"/>
        <v>484</v>
      </c>
      <c r="J29" s="2">
        <f t="shared" si="30"/>
        <v>492.60000000000014</v>
      </c>
      <c r="K29" s="2">
        <f t="shared" si="31"/>
        <v>501.60000000000014</v>
      </c>
      <c r="L29" s="2">
        <f t="shared" si="32"/>
        <v>510.60000000000014</v>
      </c>
    </row>
    <row r="30" spans="1:12" x14ac:dyDescent="0.25">
      <c r="A30" s="5">
        <v>270</v>
      </c>
      <c r="B30" s="2">
        <f t="shared" si="22"/>
        <v>463.29999999999984</v>
      </c>
      <c r="C30" s="2">
        <f t="shared" si="23"/>
        <v>470.5</v>
      </c>
      <c r="D30" s="2">
        <f t="shared" si="24"/>
        <v>478</v>
      </c>
      <c r="E30" s="2">
        <f t="shared" si="25"/>
        <v>484.79999999999984</v>
      </c>
      <c r="F30" s="2">
        <f t="shared" si="26"/>
        <v>493</v>
      </c>
      <c r="G30" s="2">
        <f t="shared" si="27"/>
        <v>500.5</v>
      </c>
      <c r="H30" s="2">
        <f t="shared" si="28"/>
        <v>509</v>
      </c>
      <c r="I30" s="2">
        <f t="shared" si="29"/>
        <v>517.5</v>
      </c>
      <c r="J30" s="2">
        <f t="shared" si="30"/>
        <v>526.70000000000016</v>
      </c>
      <c r="K30" s="2">
        <f t="shared" si="31"/>
        <v>536.20000000000016</v>
      </c>
      <c r="L30" s="2">
        <f t="shared" si="32"/>
        <v>545.70000000000016</v>
      </c>
    </row>
    <row r="31" spans="1:12" x14ac:dyDescent="0.25">
      <c r="A31" s="5">
        <v>280</v>
      </c>
      <c r="B31" s="2">
        <f t="shared" si="22"/>
        <v>493.19999999999982</v>
      </c>
      <c r="C31" s="2">
        <f t="shared" si="23"/>
        <v>501</v>
      </c>
      <c r="D31" s="2">
        <f t="shared" si="24"/>
        <v>509</v>
      </c>
      <c r="E31" s="2">
        <f t="shared" si="25"/>
        <v>516.19999999999982</v>
      </c>
      <c r="F31" s="2">
        <f t="shared" si="26"/>
        <v>525</v>
      </c>
      <c r="G31" s="2">
        <f t="shared" si="27"/>
        <v>533</v>
      </c>
      <c r="H31" s="2">
        <f t="shared" si="28"/>
        <v>542</v>
      </c>
      <c r="I31" s="2">
        <f t="shared" si="29"/>
        <v>551</v>
      </c>
      <c r="J31" s="2">
        <f t="shared" si="30"/>
        <v>560.80000000000018</v>
      </c>
      <c r="K31" s="2">
        <f t="shared" si="31"/>
        <v>570.80000000000018</v>
      </c>
      <c r="L31" s="2">
        <f t="shared" si="32"/>
        <v>580.80000000000018</v>
      </c>
    </row>
    <row r="32" spans="1:12" x14ac:dyDescent="0.25">
      <c r="A32" s="5">
        <v>290</v>
      </c>
      <c r="B32" s="2">
        <f t="shared" si="22"/>
        <v>523.0999999999998</v>
      </c>
      <c r="C32" s="2">
        <f t="shared" si="23"/>
        <v>531.5</v>
      </c>
      <c r="D32" s="2">
        <f t="shared" si="24"/>
        <v>540</v>
      </c>
      <c r="E32" s="2">
        <f t="shared" si="25"/>
        <v>547.5999999999998</v>
      </c>
      <c r="F32" s="2">
        <f t="shared" si="26"/>
        <v>557</v>
      </c>
      <c r="G32" s="2">
        <f t="shared" si="27"/>
        <v>565.5</v>
      </c>
      <c r="H32" s="2">
        <f t="shared" si="28"/>
        <v>575</v>
      </c>
      <c r="I32" s="2">
        <f t="shared" si="29"/>
        <v>584.5</v>
      </c>
      <c r="J32" s="2">
        <f t="shared" si="30"/>
        <v>594.9000000000002</v>
      </c>
      <c r="K32" s="2">
        <f t="shared" si="31"/>
        <v>605.4000000000002</v>
      </c>
      <c r="L32" s="2">
        <f t="shared" si="32"/>
        <v>615.9000000000002</v>
      </c>
    </row>
    <row r="33" spans="1:12" x14ac:dyDescent="0.25">
      <c r="A33" s="5">
        <v>300</v>
      </c>
      <c r="B33" s="4">
        <v>553</v>
      </c>
      <c r="C33" s="4">
        <v>562</v>
      </c>
      <c r="D33" s="4">
        <v>571</v>
      </c>
      <c r="E33" s="4">
        <v>579</v>
      </c>
      <c r="F33" s="4">
        <v>589</v>
      </c>
      <c r="G33" s="4">
        <v>598</v>
      </c>
      <c r="H33" s="4">
        <v>608</v>
      </c>
      <c r="I33" s="4">
        <v>618</v>
      </c>
      <c r="J33" s="4">
        <v>629</v>
      </c>
      <c r="K33" s="4">
        <v>640</v>
      </c>
      <c r="L33" s="4">
        <v>651</v>
      </c>
    </row>
    <row r="34" spans="1:12" x14ac:dyDescent="0.25">
      <c r="A34" s="5">
        <v>310</v>
      </c>
      <c r="B34" s="2">
        <f t="shared" ref="B34:B42" si="33">((B$43-B$33)/10)+B33</f>
        <v>597.5</v>
      </c>
      <c r="C34" s="2">
        <f t="shared" ref="C34:C42" si="34">((C$43-C$33)/10)+C33</f>
        <v>607</v>
      </c>
      <c r="D34" s="2">
        <f t="shared" ref="D34:D42" si="35">((D$43-D$33)/10)+D33</f>
        <v>616.5</v>
      </c>
      <c r="E34" s="2">
        <f t="shared" ref="E34:E42" si="36">((E$43-E$33)/10)+E33</f>
        <v>625.1</v>
      </c>
      <c r="F34" s="2">
        <f t="shared" ref="F34:F42" si="37">((F$43-F$33)/10)+F33</f>
        <v>635.6</v>
      </c>
      <c r="G34" s="2">
        <f t="shared" ref="G34:G42" si="38">((G$43-G$33)/10)+G33</f>
        <v>645.29999999999995</v>
      </c>
      <c r="H34" s="2">
        <f t="shared" ref="H34:H42" si="39">((H$43-H$33)/10)+H33</f>
        <v>655.8</v>
      </c>
      <c r="I34" s="2">
        <f t="shared" ref="I34:I42" si="40">((I$43-I$33)/10)+I33</f>
        <v>666.4</v>
      </c>
      <c r="J34" s="2">
        <f t="shared" ref="J34:J42" si="41">((J$43-J$33)/10)+J33</f>
        <v>677.9</v>
      </c>
      <c r="K34" s="2">
        <f t="shared" ref="K34:K42" si="42">((K$43-K$33)/10)+K33</f>
        <v>689.5</v>
      </c>
      <c r="L34" s="2">
        <f t="shared" ref="L34:L42" si="43">((L$43-L$33)/10)+L33</f>
        <v>701.1</v>
      </c>
    </row>
    <row r="35" spans="1:12" x14ac:dyDescent="0.25">
      <c r="A35" s="5">
        <v>320</v>
      </c>
      <c r="B35" s="2">
        <f t="shared" si="33"/>
        <v>642</v>
      </c>
      <c r="C35" s="2">
        <f t="shared" si="34"/>
        <v>652</v>
      </c>
      <c r="D35" s="2">
        <f t="shared" si="35"/>
        <v>662</v>
      </c>
      <c r="E35" s="2">
        <f t="shared" si="36"/>
        <v>671.2</v>
      </c>
      <c r="F35" s="2">
        <f t="shared" si="37"/>
        <v>682.2</v>
      </c>
      <c r="G35" s="2">
        <f t="shared" si="38"/>
        <v>692.59999999999991</v>
      </c>
      <c r="H35" s="2">
        <f t="shared" si="39"/>
        <v>703.59999999999991</v>
      </c>
      <c r="I35" s="2">
        <f t="shared" si="40"/>
        <v>714.8</v>
      </c>
      <c r="J35" s="2">
        <f t="shared" si="41"/>
        <v>726.8</v>
      </c>
      <c r="K35" s="2">
        <f t="shared" si="42"/>
        <v>739</v>
      </c>
      <c r="L35" s="2">
        <f t="shared" si="43"/>
        <v>751.2</v>
      </c>
    </row>
    <row r="36" spans="1:12" x14ac:dyDescent="0.25">
      <c r="A36" s="5">
        <v>330</v>
      </c>
      <c r="B36" s="2">
        <f t="shared" si="33"/>
        <v>686.5</v>
      </c>
      <c r="C36" s="2">
        <f t="shared" si="34"/>
        <v>697</v>
      </c>
      <c r="D36" s="2">
        <f t="shared" si="35"/>
        <v>707.5</v>
      </c>
      <c r="E36" s="2">
        <f t="shared" si="36"/>
        <v>717.30000000000007</v>
      </c>
      <c r="F36" s="2">
        <f t="shared" si="37"/>
        <v>728.80000000000007</v>
      </c>
      <c r="G36" s="2">
        <f t="shared" si="38"/>
        <v>739.89999999999986</v>
      </c>
      <c r="H36" s="2">
        <f t="shared" si="39"/>
        <v>751.39999999999986</v>
      </c>
      <c r="I36" s="2">
        <f t="shared" si="40"/>
        <v>763.19999999999993</v>
      </c>
      <c r="J36" s="2">
        <f t="shared" si="41"/>
        <v>775.69999999999993</v>
      </c>
      <c r="K36" s="2">
        <f t="shared" si="42"/>
        <v>788.5</v>
      </c>
      <c r="L36" s="2">
        <f t="shared" si="43"/>
        <v>801.30000000000007</v>
      </c>
    </row>
    <row r="37" spans="1:12" x14ac:dyDescent="0.25">
      <c r="A37" s="5">
        <v>340</v>
      </c>
      <c r="B37" s="2">
        <f t="shared" si="33"/>
        <v>731</v>
      </c>
      <c r="C37" s="2">
        <f t="shared" si="34"/>
        <v>742</v>
      </c>
      <c r="D37" s="2">
        <f t="shared" si="35"/>
        <v>753</v>
      </c>
      <c r="E37" s="2">
        <f t="shared" si="36"/>
        <v>763.40000000000009</v>
      </c>
      <c r="F37" s="2">
        <f t="shared" si="37"/>
        <v>775.40000000000009</v>
      </c>
      <c r="G37" s="2">
        <f t="shared" si="38"/>
        <v>787.19999999999982</v>
      </c>
      <c r="H37" s="2">
        <f t="shared" si="39"/>
        <v>799.19999999999982</v>
      </c>
      <c r="I37" s="2">
        <f t="shared" si="40"/>
        <v>811.59999999999991</v>
      </c>
      <c r="J37" s="2">
        <f t="shared" si="41"/>
        <v>824.59999999999991</v>
      </c>
      <c r="K37" s="2">
        <f t="shared" si="42"/>
        <v>838</v>
      </c>
      <c r="L37" s="2">
        <f t="shared" si="43"/>
        <v>851.40000000000009</v>
      </c>
    </row>
    <row r="38" spans="1:12" x14ac:dyDescent="0.25">
      <c r="A38" s="5">
        <v>350</v>
      </c>
      <c r="B38" s="2">
        <f t="shared" si="33"/>
        <v>775.5</v>
      </c>
      <c r="C38" s="2">
        <f t="shared" si="34"/>
        <v>787</v>
      </c>
      <c r="D38" s="2">
        <f t="shared" si="35"/>
        <v>798.5</v>
      </c>
      <c r="E38" s="2">
        <f t="shared" si="36"/>
        <v>809.50000000000011</v>
      </c>
      <c r="F38" s="2">
        <f t="shared" si="37"/>
        <v>822.00000000000011</v>
      </c>
      <c r="G38" s="2">
        <f t="shared" si="38"/>
        <v>834.49999999999977</v>
      </c>
      <c r="H38" s="2">
        <f t="shared" si="39"/>
        <v>846.99999999999977</v>
      </c>
      <c r="I38" s="2">
        <f t="shared" si="40"/>
        <v>859.99999999999989</v>
      </c>
      <c r="J38" s="2">
        <f t="shared" si="41"/>
        <v>873.49999999999989</v>
      </c>
      <c r="K38" s="2">
        <f t="shared" si="42"/>
        <v>887.5</v>
      </c>
      <c r="L38" s="2">
        <f t="shared" si="43"/>
        <v>901.50000000000011</v>
      </c>
    </row>
    <row r="39" spans="1:12" x14ac:dyDescent="0.25">
      <c r="A39" s="5">
        <v>360</v>
      </c>
      <c r="B39" s="2">
        <f t="shared" si="33"/>
        <v>820</v>
      </c>
      <c r="C39" s="2">
        <f t="shared" si="34"/>
        <v>832</v>
      </c>
      <c r="D39" s="2">
        <f t="shared" si="35"/>
        <v>844</v>
      </c>
      <c r="E39" s="2">
        <f t="shared" si="36"/>
        <v>855.60000000000014</v>
      </c>
      <c r="F39" s="2">
        <f t="shared" si="37"/>
        <v>868.60000000000014</v>
      </c>
      <c r="G39" s="2">
        <f t="shared" si="38"/>
        <v>881.79999999999973</v>
      </c>
      <c r="H39" s="2">
        <f t="shared" si="39"/>
        <v>894.79999999999973</v>
      </c>
      <c r="I39" s="2">
        <f t="shared" si="40"/>
        <v>908.39999999999986</v>
      </c>
      <c r="J39" s="2">
        <f t="shared" si="41"/>
        <v>922.39999999999986</v>
      </c>
      <c r="K39" s="2">
        <f t="shared" si="42"/>
        <v>937</v>
      </c>
      <c r="L39" s="2">
        <f t="shared" si="43"/>
        <v>951.60000000000014</v>
      </c>
    </row>
    <row r="40" spans="1:12" x14ac:dyDescent="0.25">
      <c r="A40" s="5">
        <v>370</v>
      </c>
      <c r="B40" s="2">
        <f t="shared" si="33"/>
        <v>864.5</v>
      </c>
      <c r="C40" s="2">
        <f t="shared" si="34"/>
        <v>877</v>
      </c>
      <c r="D40" s="2">
        <f t="shared" si="35"/>
        <v>889.5</v>
      </c>
      <c r="E40" s="2">
        <f t="shared" si="36"/>
        <v>901.70000000000016</v>
      </c>
      <c r="F40" s="2">
        <f t="shared" si="37"/>
        <v>915.20000000000016</v>
      </c>
      <c r="G40" s="2">
        <f t="shared" si="38"/>
        <v>929.09999999999968</v>
      </c>
      <c r="H40" s="2">
        <f t="shared" si="39"/>
        <v>942.59999999999968</v>
      </c>
      <c r="I40" s="2">
        <f t="shared" si="40"/>
        <v>956.79999999999984</v>
      </c>
      <c r="J40" s="2">
        <f t="shared" si="41"/>
        <v>971.29999999999984</v>
      </c>
      <c r="K40" s="2">
        <f t="shared" si="42"/>
        <v>986.5</v>
      </c>
      <c r="L40" s="2">
        <f t="shared" si="43"/>
        <v>1001.7000000000002</v>
      </c>
    </row>
    <row r="41" spans="1:12" x14ac:dyDescent="0.25">
      <c r="A41" s="5">
        <v>380</v>
      </c>
      <c r="B41" s="2">
        <f t="shared" si="33"/>
        <v>909</v>
      </c>
      <c r="C41" s="2">
        <f t="shared" si="34"/>
        <v>922</v>
      </c>
      <c r="D41" s="2">
        <f t="shared" si="35"/>
        <v>935</v>
      </c>
      <c r="E41" s="2">
        <f t="shared" si="36"/>
        <v>947.80000000000018</v>
      </c>
      <c r="F41" s="2">
        <f t="shared" si="37"/>
        <v>961.80000000000018</v>
      </c>
      <c r="G41" s="2">
        <f t="shared" si="38"/>
        <v>976.39999999999964</v>
      </c>
      <c r="H41" s="2">
        <f t="shared" si="39"/>
        <v>990.39999999999964</v>
      </c>
      <c r="I41" s="2">
        <f t="shared" si="40"/>
        <v>1005.1999999999998</v>
      </c>
      <c r="J41" s="2">
        <f t="shared" si="41"/>
        <v>1020.1999999999998</v>
      </c>
      <c r="K41" s="2">
        <f t="shared" si="42"/>
        <v>1036</v>
      </c>
      <c r="L41" s="2">
        <f t="shared" si="43"/>
        <v>1051.8000000000002</v>
      </c>
    </row>
    <row r="42" spans="1:12" x14ac:dyDescent="0.25">
      <c r="A42" s="5">
        <v>390</v>
      </c>
      <c r="B42" s="2">
        <f t="shared" si="33"/>
        <v>953.5</v>
      </c>
      <c r="C42" s="2">
        <f t="shared" si="34"/>
        <v>967</v>
      </c>
      <c r="D42" s="2">
        <f t="shared" si="35"/>
        <v>980.5</v>
      </c>
      <c r="E42" s="2">
        <f t="shared" si="36"/>
        <v>993.9000000000002</v>
      </c>
      <c r="F42" s="2">
        <f t="shared" si="37"/>
        <v>1008.4000000000002</v>
      </c>
      <c r="G42" s="2">
        <f t="shared" si="38"/>
        <v>1023.6999999999996</v>
      </c>
      <c r="H42" s="2">
        <f t="shared" si="39"/>
        <v>1038.1999999999996</v>
      </c>
      <c r="I42" s="2">
        <f t="shared" si="40"/>
        <v>1053.5999999999999</v>
      </c>
      <c r="J42" s="2">
        <f t="shared" si="41"/>
        <v>1069.0999999999999</v>
      </c>
      <c r="K42" s="2">
        <f t="shared" si="42"/>
        <v>1085.5</v>
      </c>
      <c r="L42" s="2">
        <f t="shared" si="43"/>
        <v>1101.9000000000001</v>
      </c>
    </row>
    <row r="43" spans="1:12" x14ac:dyDescent="0.25">
      <c r="A43" s="5">
        <v>400</v>
      </c>
      <c r="B43" s="4">
        <v>998</v>
      </c>
      <c r="C43" s="4">
        <v>1012</v>
      </c>
      <c r="D43" s="4">
        <v>1026</v>
      </c>
      <c r="E43" s="4">
        <v>1040</v>
      </c>
      <c r="F43" s="4">
        <v>1055</v>
      </c>
      <c r="G43" s="4">
        <v>1071</v>
      </c>
      <c r="H43" s="4">
        <v>1086</v>
      </c>
      <c r="I43" s="4">
        <v>1102</v>
      </c>
      <c r="J43" s="4">
        <v>1118</v>
      </c>
      <c r="K43" s="4">
        <v>1135</v>
      </c>
      <c r="L43" s="4">
        <v>1152</v>
      </c>
    </row>
    <row r="44" spans="1:12" x14ac:dyDescent="0.25">
      <c r="A44" s="5">
        <v>410</v>
      </c>
      <c r="B44" s="2">
        <f t="shared" ref="B44:B52" si="44">((B$53-B$43)/10)+B43</f>
        <v>1056.0999999999999</v>
      </c>
      <c r="C44" s="2">
        <f t="shared" ref="C44:C52" si="45">((C$53-C$43)/10)+C43</f>
        <v>1070.7</v>
      </c>
      <c r="D44" s="2">
        <f t="shared" ref="D44:D52" si="46">((D$53-D$43)/10)+D43</f>
        <v>1085.3</v>
      </c>
      <c r="E44" s="2">
        <f t="shared" ref="E44:E52" si="47">((E$53-E$43)/10)+E43</f>
        <v>1100</v>
      </c>
      <c r="F44" s="2">
        <f t="shared" ref="F44:F52" si="48">((F$53-F$43)/10)+F43</f>
        <v>1115.5</v>
      </c>
      <c r="G44" s="2">
        <f t="shared" ref="G44:G52" si="49">((G$53-G$43)/10)+G43</f>
        <v>1132</v>
      </c>
      <c r="H44" s="2">
        <f t="shared" ref="H44:H52" si="50">((H$53-H$43)/10)+H43</f>
        <v>1147.7</v>
      </c>
      <c r="I44" s="2">
        <f t="shared" ref="I44:I52" si="51">((I$53-I$43)/10)+I43</f>
        <v>1236.5</v>
      </c>
      <c r="J44" s="2">
        <f t="shared" ref="J44:J52" si="52">((J$53-J$43)/10)+J43</f>
        <v>1180.8</v>
      </c>
      <c r="K44" s="2">
        <f t="shared" ref="K44:K52" si="53">((K$53-K$43)/10)+K43</f>
        <v>1198.4000000000001</v>
      </c>
      <c r="L44" s="2">
        <f t="shared" ref="L44:L52" si="54">((L$53-L$43)/10)+L43</f>
        <v>1215.9000000000001</v>
      </c>
    </row>
    <row r="45" spans="1:12" x14ac:dyDescent="0.25">
      <c r="A45" s="5">
        <v>420</v>
      </c>
      <c r="B45" s="2">
        <f t="shared" si="44"/>
        <v>1114.1999999999998</v>
      </c>
      <c r="C45" s="2">
        <f t="shared" si="45"/>
        <v>1129.4000000000001</v>
      </c>
      <c r="D45" s="2">
        <f t="shared" si="46"/>
        <v>1144.5999999999999</v>
      </c>
      <c r="E45" s="2">
        <f t="shared" si="47"/>
        <v>1160</v>
      </c>
      <c r="F45" s="2">
        <f t="shared" si="48"/>
        <v>1176</v>
      </c>
      <c r="G45" s="2">
        <f t="shared" si="49"/>
        <v>1193</v>
      </c>
      <c r="H45" s="2">
        <f t="shared" si="50"/>
        <v>1209.4000000000001</v>
      </c>
      <c r="I45" s="2">
        <f t="shared" si="51"/>
        <v>1371</v>
      </c>
      <c r="J45" s="2">
        <f t="shared" si="52"/>
        <v>1243.5999999999999</v>
      </c>
      <c r="K45" s="2">
        <f t="shared" si="53"/>
        <v>1261.8000000000002</v>
      </c>
      <c r="L45" s="2">
        <f t="shared" si="54"/>
        <v>1279.8000000000002</v>
      </c>
    </row>
    <row r="46" spans="1:12" x14ac:dyDescent="0.25">
      <c r="A46" s="5">
        <v>430</v>
      </c>
      <c r="B46" s="2">
        <f t="shared" si="44"/>
        <v>1172.2999999999997</v>
      </c>
      <c r="C46" s="2">
        <f t="shared" si="45"/>
        <v>1188.1000000000001</v>
      </c>
      <c r="D46" s="2">
        <f t="shared" si="46"/>
        <v>1203.8999999999999</v>
      </c>
      <c r="E46" s="2">
        <f t="shared" si="47"/>
        <v>1220</v>
      </c>
      <c r="F46" s="2">
        <f t="shared" si="48"/>
        <v>1236.5</v>
      </c>
      <c r="G46" s="2">
        <f t="shared" si="49"/>
        <v>1254</v>
      </c>
      <c r="H46" s="2">
        <f t="shared" si="50"/>
        <v>1271.1000000000001</v>
      </c>
      <c r="I46" s="2">
        <f t="shared" si="51"/>
        <v>1505.5</v>
      </c>
      <c r="J46" s="2">
        <f t="shared" si="52"/>
        <v>1306.3999999999999</v>
      </c>
      <c r="K46" s="2">
        <f t="shared" si="53"/>
        <v>1325.2000000000003</v>
      </c>
      <c r="L46" s="2">
        <f t="shared" si="54"/>
        <v>1343.7000000000003</v>
      </c>
    </row>
    <row r="47" spans="1:12" x14ac:dyDescent="0.25">
      <c r="A47" s="5">
        <v>440</v>
      </c>
      <c r="B47" s="2">
        <f t="shared" si="44"/>
        <v>1230.3999999999996</v>
      </c>
      <c r="C47" s="2">
        <f t="shared" si="45"/>
        <v>1246.8000000000002</v>
      </c>
      <c r="D47" s="2">
        <f t="shared" si="46"/>
        <v>1263.1999999999998</v>
      </c>
      <c r="E47" s="2">
        <f t="shared" si="47"/>
        <v>1280</v>
      </c>
      <c r="F47" s="2">
        <f t="shared" si="48"/>
        <v>1297</v>
      </c>
      <c r="G47" s="2">
        <f t="shared" si="49"/>
        <v>1315</v>
      </c>
      <c r="H47" s="2">
        <f t="shared" si="50"/>
        <v>1332.8000000000002</v>
      </c>
      <c r="I47" s="2">
        <f t="shared" si="51"/>
        <v>1640</v>
      </c>
      <c r="J47" s="2">
        <f t="shared" si="52"/>
        <v>1369.1999999999998</v>
      </c>
      <c r="K47" s="2">
        <f t="shared" si="53"/>
        <v>1388.6000000000004</v>
      </c>
      <c r="L47" s="2">
        <f t="shared" si="54"/>
        <v>1407.6000000000004</v>
      </c>
    </row>
    <row r="48" spans="1:12" x14ac:dyDescent="0.25">
      <c r="A48" s="5">
        <v>450</v>
      </c>
      <c r="B48" s="2">
        <f t="shared" si="44"/>
        <v>1288.4999999999995</v>
      </c>
      <c r="C48" s="2">
        <f t="shared" si="45"/>
        <v>1305.5000000000002</v>
      </c>
      <c r="D48" s="2">
        <f t="shared" si="46"/>
        <v>1322.4999999999998</v>
      </c>
      <c r="E48" s="2">
        <f t="shared" si="47"/>
        <v>1340</v>
      </c>
      <c r="F48" s="2">
        <f t="shared" si="48"/>
        <v>1357.5</v>
      </c>
      <c r="G48" s="2">
        <f t="shared" si="49"/>
        <v>1376</v>
      </c>
      <c r="H48" s="2">
        <f t="shared" si="50"/>
        <v>1394.5000000000002</v>
      </c>
      <c r="I48" s="2">
        <f t="shared" si="51"/>
        <v>1774.5</v>
      </c>
      <c r="J48" s="2">
        <f t="shared" si="52"/>
        <v>1431.9999999999998</v>
      </c>
      <c r="K48" s="2">
        <f t="shared" si="53"/>
        <v>1452.0000000000005</v>
      </c>
      <c r="L48" s="2">
        <f t="shared" si="54"/>
        <v>1471.5000000000005</v>
      </c>
    </row>
    <row r="49" spans="1:12" x14ac:dyDescent="0.25">
      <c r="A49" s="5">
        <v>460</v>
      </c>
      <c r="B49" s="2">
        <f t="shared" si="44"/>
        <v>1346.5999999999995</v>
      </c>
      <c r="C49" s="2">
        <f t="shared" si="45"/>
        <v>1364.2000000000003</v>
      </c>
      <c r="D49" s="2">
        <f t="shared" si="46"/>
        <v>1381.7999999999997</v>
      </c>
      <c r="E49" s="2">
        <f t="shared" si="47"/>
        <v>1400</v>
      </c>
      <c r="F49" s="2">
        <f t="shared" si="48"/>
        <v>1418</v>
      </c>
      <c r="G49" s="2">
        <f t="shared" si="49"/>
        <v>1437</v>
      </c>
      <c r="H49" s="2">
        <f t="shared" si="50"/>
        <v>1456.2000000000003</v>
      </c>
      <c r="I49" s="2">
        <f t="shared" si="51"/>
        <v>1909</v>
      </c>
      <c r="J49" s="2">
        <f t="shared" si="52"/>
        <v>1494.7999999999997</v>
      </c>
      <c r="K49" s="2">
        <f t="shared" si="53"/>
        <v>1515.4000000000005</v>
      </c>
      <c r="L49" s="2">
        <f t="shared" si="54"/>
        <v>1535.4000000000005</v>
      </c>
    </row>
    <row r="50" spans="1:12" x14ac:dyDescent="0.25">
      <c r="A50" s="5">
        <v>470</v>
      </c>
      <c r="B50" s="2">
        <f t="shared" si="44"/>
        <v>1404.6999999999994</v>
      </c>
      <c r="C50" s="2">
        <f t="shared" si="45"/>
        <v>1422.9000000000003</v>
      </c>
      <c r="D50" s="2">
        <f t="shared" si="46"/>
        <v>1441.0999999999997</v>
      </c>
      <c r="E50" s="2">
        <f t="shared" si="47"/>
        <v>1460</v>
      </c>
      <c r="F50" s="2">
        <f t="shared" si="48"/>
        <v>1478.5</v>
      </c>
      <c r="G50" s="2">
        <f t="shared" si="49"/>
        <v>1498</v>
      </c>
      <c r="H50" s="2">
        <f t="shared" si="50"/>
        <v>1517.9000000000003</v>
      </c>
      <c r="I50" s="2">
        <f t="shared" si="51"/>
        <v>2043.5</v>
      </c>
      <c r="J50" s="2">
        <f t="shared" si="52"/>
        <v>1557.5999999999997</v>
      </c>
      <c r="K50" s="2">
        <f t="shared" si="53"/>
        <v>1578.8000000000006</v>
      </c>
      <c r="L50" s="2">
        <f t="shared" si="54"/>
        <v>1599.3000000000006</v>
      </c>
    </row>
    <row r="51" spans="1:12" x14ac:dyDescent="0.25">
      <c r="A51" s="5">
        <v>480</v>
      </c>
      <c r="B51" s="2">
        <f t="shared" si="44"/>
        <v>1462.7999999999993</v>
      </c>
      <c r="C51" s="2">
        <f t="shared" si="45"/>
        <v>1481.6000000000004</v>
      </c>
      <c r="D51" s="2">
        <f t="shared" si="46"/>
        <v>1500.3999999999996</v>
      </c>
      <c r="E51" s="2">
        <f t="shared" si="47"/>
        <v>1520</v>
      </c>
      <c r="F51" s="2">
        <f t="shared" si="48"/>
        <v>1539</v>
      </c>
      <c r="G51" s="2">
        <f t="shared" si="49"/>
        <v>1559</v>
      </c>
      <c r="H51" s="2">
        <f t="shared" si="50"/>
        <v>1579.6000000000004</v>
      </c>
      <c r="I51" s="2">
        <f t="shared" si="51"/>
        <v>2178</v>
      </c>
      <c r="J51" s="2">
        <f t="shared" si="52"/>
        <v>1620.3999999999996</v>
      </c>
      <c r="K51" s="2">
        <f t="shared" si="53"/>
        <v>1642.2000000000007</v>
      </c>
      <c r="L51" s="2">
        <f t="shared" si="54"/>
        <v>1663.2000000000007</v>
      </c>
    </row>
    <row r="52" spans="1:12" x14ac:dyDescent="0.25">
      <c r="A52" s="5">
        <v>490</v>
      </c>
      <c r="B52" s="2">
        <f t="shared" si="44"/>
        <v>1520.8999999999992</v>
      </c>
      <c r="C52" s="2">
        <f t="shared" si="45"/>
        <v>1540.3000000000004</v>
      </c>
      <c r="D52" s="2">
        <f t="shared" si="46"/>
        <v>1559.6999999999996</v>
      </c>
      <c r="E52" s="2">
        <f t="shared" si="47"/>
        <v>1580</v>
      </c>
      <c r="F52" s="2">
        <f t="shared" si="48"/>
        <v>1599.5</v>
      </c>
      <c r="G52" s="2">
        <f t="shared" si="49"/>
        <v>1620</v>
      </c>
      <c r="H52" s="2">
        <f t="shared" si="50"/>
        <v>1641.3000000000004</v>
      </c>
      <c r="I52" s="2">
        <f t="shared" si="51"/>
        <v>2312.5</v>
      </c>
      <c r="J52" s="2">
        <f t="shared" si="52"/>
        <v>1683.1999999999996</v>
      </c>
      <c r="K52" s="2">
        <f t="shared" si="53"/>
        <v>1705.6000000000008</v>
      </c>
      <c r="L52" s="2">
        <f t="shared" si="54"/>
        <v>1727.1000000000008</v>
      </c>
    </row>
    <row r="53" spans="1:12" x14ac:dyDescent="0.25">
      <c r="A53" s="5">
        <v>500</v>
      </c>
      <c r="B53" s="4">
        <v>1579</v>
      </c>
      <c r="C53" s="4">
        <v>1599</v>
      </c>
      <c r="D53" s="4">
        <v>1619</v>
      </c>
      <c r="E53" s="4">
        <v>1640</v>
      </c>
      <c r="F53" s="4">
        <v>1660</v>
      </c>
      <c r="G53" s="4">
        <v>1681</v>
      </c>
      <c r="H53" s="4">
        <v>1703</v>
      </c>
      <c r="I53" s="4">
        <v>2447</v>
      </c>
      <c r="J53" s="4">
        <v>1746</v>
      </c>
      <c r="K53" s="4">
        <v>1769</v>
      </c>
      <c r="L53" s="4">
        <v>1791</v>
      </c>
    </row>
    <row r="54" spans="1:12" x14ac:dyDescent="0.25">
      <c r="A54" s="5">
        <v>510</v>
      </c>
      <c r="B54" s="2">
        <f t="shared" ref="B54:B62" si="55">((B$63-B$53)/10+B53)</f>
        <v>1647.9</v>
      </c>
      <c r="C54" s="2">
        <f t="shared" ref="C54:C62" si="56">((C$63-C$53)/10+C53)</f>
        <v>1668.3</v>
      </c>
      <c r="D54" s="2">
        <f t="shared" ref="D54:D62" si="57">((D$63-D$53)/10+D53)</f>
        <v>1688.8</v>
      </c>
      <c r="E54" s="2">
        <f t="shared" ref="E54:E62" si="58">((E$63-E$53)/10+E53)</f>
        <v>1710.3</v>
      </c>
      <c r="F54" s="2">
        <f t="shared" ref="F54:F62" si="59">((F$63-F$53)/10+F53)</f>
        <v>1730.8</v>
      </c>
      <c r="G54" s="2">
        <f t="shared" ref="G54:G62" si="60">((G$63-G$53)/10+G53)</f>
        <v>1752.3</v>
      </c>
      <c r="H54" s="2">
        <f t="shared" ref="H54:H62" si="61">((H$63-H$53)/10+H53)</f>
        <v>1774.8</v>
      </c>
      <c r="I54" s="2">
        <f t="shared" ref="I54:I62" si="62">((I$63-I$53)/10+I53)</f>
        <v>2525.4</v>
      </c>
      <c r="J54" s="2">
        <f t="shared" ref="J54:J62" si="63">((J$63-J$53)/10+J53)</f>
        <v>1818.8</v>
      </c>
      <c r="K54" s="2">
        <f t="shared" ref="K54:K62" si="64">((K$63-K$53)/10+K53)</f>
        <v>1842.2</v>
      </c>
      <c r="L54" s="2">
        <f t="shared" ref="L54:L62" si="65">((L$63-L$53)/10+L53)</f>
        <v>1864.7</v>
      </c>
    </row>
    <row r="55" spans="1:12" x14ac:dyDescent="0.25">
      <c r="A55" s="5">
        <v>520</v>
      </c>
      <c r="B55" s="2">
        <f t="shared" si="55"/>
        <v>1716.8000000000002</v>
      </c>
      <c r="C55" s="2">
        <f t="shared" si="56"/>
        <v>1737.6</v>
      </c>
      <c r="D55" s="2">
        <f t="shared" si="57"/>
        <v>1758.6</v>
      </c>
      <c r="E55" s="2">
        <f t="shared" si="58"/>
        <v>1780.6</v>
      </c>
      <c r="F55" s="2">
        <f t="shared" si="59"/>
        <v>1801.6</v>
      </c>
      <c r="G55" s="2">
        <f t="shared" si="60"/>
        <v>1823.6</v>
      </c>
      <c r="H55" s="2">
        <f t="shared" si="61"/>
        <v>1846.6</v>
      </c>
      <c r="I55" s="2">
        <f t="shared" si="62"/>
        <v>2603.8000000000002</v>
      </c>
      <c r="J55" s="2">
        <f t="shared" si="63"/>
        <v>1891.6</v>
      </c>
      <c r="K55" s="2">
        <f t="shared" si="64"/>
        <v>1915.4</v>
      </c>
      <c r="L55" s="2">
        <f t="shared" si="65"/>
        <v>1938.4</v>
      </c>
    </row>
    <row r="56" spans="1:12" x14ac:dyDescent="0.25">
      <c r="A56" s="5">
        <v>530</v>
      </c>
      <c r="B56" s="2">
        <f t="shared" si="55"/>
        <v>1785.7000000000003</v>
      </c>
      <c r="C56" s="2">
        <f t="shared" si="56"/>
        <v>1806.8999999999999</v>
      </c>
      <c r="D56" s="2">
        <f t="shared" si="57"/>
        <v>1828.3999999999999</v>
      </c>
      <c r="E56" s="2">
        <f t="shared" si="58"/>
        <v>1850.8999999999999</v>
      </c>
      <c r="F56" s="2">
        <f t="shared" si="59"/>
        <v>1872.3999999999999</v>
      </c>
      <c r="G56" s="2">
        <f t="shared" si="60"/>
        <v>1894.8999999999999</v>
      </c>
      <c r="H56" s="2">
        <f t="shared" si="61"/>
        <v>1918.3999999999999</v>
      </c>
      <c r="I56" s="2">
        <f t="shared" si="62"/>
        <v>2682.2000000000003</v>
      </c>
      <c r="J56" s="2">
        <f t="shared" si="63"/>
        <v>1964.3999999999999</v>
      </c>
      <c r="K56" s="2">
        <f t="shared" si="64"/>
        <v>1988.6000000000001</v>
      </c>
      <c r="L56" s="2">
        <f t="shared" si="65"/>
        <v>2012.1000000000001</v>
      </c>
    </row>
    <row r="57" spans="1:12" x14ac:dyDescent="0.25">
      <c r="A57" s="5">
        <v>540</v>
      </c>
      <c r="B57" s="2">
        <f t="shared" si="55"/>
        <v>1854.6000000000004</v>
      </c>
      <c r="C57" s="2">
        <f t="shared" si="56"/>
        <v>1876.1999999999998</v>
      </c>
      <c r="D57" s="2">
        <f t="shared" si="57"/>
        <v>1898.1999999999998</v>
      </c>
      <c r="E57" s="2">
        <f t="shared" si="58"/>
        <v>1921.1999999999998</v>
      </c>
      <c r="F57" s="2">
        <f t="shared" si="59"/>
        <v>1943.1999999999998</v>
      </c>
      <c r="G57" s="2">
        <f t="shared" si="60"/>
        <v>1966.1999999999998</v>
      </c>
      <c r="H57" s="2">
        <f t="shared" si="61"/>
        <v>1990.1999999999998</v>
      </c>
      <c r="I57" s="2">
        <f t="shared" si="62"/>
        <v>2760.6000000000004</v>
      </c>
      <c r="J57" s="2">
        <f t="shared" si="63"/>
        <v>2037.1999999999998</v>
      </c>
      <c r="K57" s="2">
        <f t="shared" si="64"/>
        <v>2061.8000000000002</v>
      </c>
      <c r="L57" s="2">
        <f t="shared" si="65"/>
        <v>2085.8000000000002</v>
      </c>
    </row>
    <row r="58" spans="1:12" x14ac:dyDescent="0.25">
      <c r="A58" s="5">
        <v>550</v>
      </c>
      <c r="B58" s="2">
        <f t="shared" si="55"/>
        <v>1923.5000000000005</v>
      </c>
      <c r="C58" s="2">
        <f t="shared" si="56"/>
        <v>1945.4999999999998</v>
      </c>
      <c r="D58" s="2">
        <f t="shared" si="57"/>
        <v>1967.9999999999998</v>
      </c>
      <c r="E58" s="2">
        <f t="shared" si="58"/>
        <v>1991.4999999999998</v>
      </c>
      <c r="F58" s="2">
        <f t="shared" si="59"/>
        <v>2013.9999999999998</v>
      </c>
      <c r="G58" s="2">
        <f t="shared" si="60"/>
        <v>2037.4999999999998</v>
      </c>
      <c r="H58" s="2">
        <f t="shared" si="61"/>
        <v>2062</v>
      </c>
      <c r="I58" s="2">
        <f t="shared" si="62"/>
        <v>2839.0000000000005</v>
      </c>
      <c r="J58" s="2">
        <f t="shared" si="63"/>
        <v>2110</v>
      </c>
      <c r="K58" s="2">
        <f t="shared" si="64"/>
        <v>2135</v>
      </c>
      <c r="L58" s="2">
        <f t="shared" si="65"/>
        <v>2159.5</v>
      </c>
    </row>
    <row r="59" spans="1:12" x14ac:dyDescent="0.25">
      <c r="A59" s="5">
        <v>560</v>
      </c>
      <c r="B59" s="2">
        <f t="shared" si="55"/>
        <v>1992.4000000000005</v>
      </c>
      <c r="C59" s="2">
        <f t="shared" si="56"/>
        <v>2014.7999999999997</v>
      </c>
      <c r="D59" s="2">
        <f t="shared" si="57"/>
        <v>2037.7999999999997</v>
      </c>
      <c r="E59" s="2">
        <f t="shared" si="58"/>
        <v>2061.7999999999997</v>
      </c>
      <c r="F59" s="2">
        <f t="shared" si="59"/>
        <v>2084.7999999999997</v>
      </c>
      <c r="G59" s="2">
        <f t="shared" si="60"/>
        <v>2108.7999999999997</v>
      </c>
      <c r="H59" s="2">
        <f t="shared" si="61"/>
        <v>2133.8000000000002</v>
      </c>
      <c r="I59" s="2">
        <f t="shared" si="62"/>
        <v>2917.4000000000005</v>
      </c>
      <c r="J59" s="2">
        <f t="shared" si="63"/>
        <v>2182.8000000000002</v>
      </c>
      <c r="K59" s="2">
        <f t="shared" si="64"/>
        <v>2208.1999999999998</v>
      </c>
      <c r="L59" s="2">
        <f t="shared" si="65"/>
        <v>2233.1999999999998</v>
      </c>
    </row>
    <row r="60" spans="1:12" x14ac:dyDescent="0.25">
      <c r="A60" s="5">
        <v>570</v>
      </c>
      <c r="B60" s="2">
        <f t="shared" si="55"/>
        <v>2061.3000000000006</v>
      </c>
      <c r="C60" s="2">
        <f t="shared" si="56"/>
        <v>2084.1</v>
      </c>
      <c r="D60" s="2">
        <f t="shared" si="57"/>
        <v>2107.6</v>
      </c>
      <c r="E60" s="2">
        <f t="shared" si="58"/>
        <v>2132.1</v>
      </c>
      <c r="F60" s="2">
        <f t="shared" si="59"/>
        <v>2155.6</v>
      </c>
      <c r="G60" s="2">
        <f t="shared" si="60"/>
        <v>2180.1</v>
      </c>
      <c r="H60" s="2">
        <f t="shared" si="61"/>
        <v>2205.6000000000004</v>
      </c>
      <c r="I60" s="2">
        <f t="shared" si="62"/>
        <v>2995.8000000000006</v>
      </c>
      <c r="J60" s="2">
        <f t="shared" si="63"/>
        <v>2255.6000000000004</v>
      </c>
      <c r="K60" s="2">
        <f t="shared" si="64"/>
        <v>2281.3999999999996</v>
      </c>
      <c r="L60" s="2">
        <f t="shared" si="65"/>
        <v>2306.8999999999996</v>
      </c>
    </row>
    <row r="61" spans="1:12" x14ac:dyDescent="0.25">
      <c r="A61" s="5">
        <v>580</v>
      </c>
      <c r="B61" s="2">
        <f t="shared" si="55"/>
        <v>2130.2000000000007</v>
      </c>
      <c r="C61" s="2">
        <f t="shared" si="56"/>
        <v>2153.4</v>
      </c>
      <c r="D61" s="2">
        <f t="shared" si="57"/>
        <v>2177.4</v>
      </c>
      <c r="E61" s="2">
        <f t="shared" si="58"/>
        <v>2202.4</v>
      </c>
      <c r="F61" s="2">
        <f t="shared" si="59"/>
        <v>2226.4</v>
      </c>
      <c r="G61" s="2">
        <f t="shared" si="60"/>
        <v>2251.4</v>
      </c>
      <c r="H61" s="2">
        <f t="shared" si="61"/>
        <v>2277.4000000000005</v>
      </c>
      <c r="I61" s="2">
        <f t="shared" si="62"/>
        <v>3074.2000000000007</v>
      </c>
      <c r="J61" s="2">
        <f t="shared" si="63"/>
        <v>2328.4000000000005</v>
      </c>
      <c r="K61" s="2">
        <f t="shared" si="64"/>
        <v>2354.5999999999995</v>
      </c>
      <c r="L61" s="2">
        <f t="shared" si="65"/>
        <v>2380.5999999999995</v>
      </c>
    </row>
    <row r="62" spans="1:12" x14ac:dyDescent="0.25">
      <c r="A62" s="5">
        <v>590</v>
      </c>
      <c r="B62" s="2">
        <f t="shared" si="55"/>
        <v>2199.1000000000008</v>
      </c>
      <c r="C62" s="2">
        <f t="shared" si="56"/>
        <v>2222.7000000000003</v>
      </c>
      <c r="D62" s="2">
        <f t="shared" si="57"/>
        <v>2247.2000000000003</v>
      </c>
      <c r="E62" s="2">
        <f t="shared" si="58"/>
        <v>2272.7000000000003</v>
      </c>
      <c r="F62" s="2">
        <f t="shared" si="59"/>
        <v>2297.2000000000003</v>
      </c>
      <c r="G62" s="2">
        <f t="shared" si="60"/>
        <v>2322.7000000000003</v>
      </c>
      <c r="H62" s="2">
        <f t="shared" si="61"/>
        <v>2349.2000000000007</v>
      </c>
      <c r="I62" s="2">
        <f t="shared" si="62"/>
        <v>3152.6000000000008</v>
      </c>
      <c r="J62" s="2">
        <f t="shared" si="63"/>
        <v>2401.2000000000007</v>
      </c>
      <c r="K62" s="2">
        <f t="shared" si="64"/>
        <v>2427.7999999999993</v>
      </c>
      <c r="L62" s="2">
        <f t="shared" si="65"/>
        <v>2454.2999999999993</v>
      </c>
    </row>
    <row r="63" spans="1:12" x14ac:dyDescent="0.25">
      <c r="A63" s="5">
        <v>600</v>
      </c>
      <c r="B63" s="4">
        <v>2268</v>
      </c>
      <c r="C63" s="4">
        <v>2292</v>
      </c>
      <c r="D63" s="4">
        <v>2317</v>
      </c>
      <c r="E63" s="4">
        <v>2343</v>
      </c>
      <c r="F63" s="4">
        <v>2368</v>
      </c>
      <c r="G63" s="4">
        <v>2394</v>
      </c>
      <c r="H63" s="4">
        <v>2421</v>
      </c>
      <c r="I63" s="4">
        <v>3231</v>
      </c>
      <c r="J63" s="4">
        <v>2474</v>
      </c>
      <c r="K63" s="4">
        <v>2501</v>
      </c>
      <c r="L63" s="4">
        <v>2528</v>
      </c>
    </row>
    <row r="64" spans="1:12" x14ac:dyDescent="0.25">
      <c r="A64" s="5">
        <v>610</v>
      </c>
      <c r="B64" s="2">
        <f t="shared" ref="B64:B72" si="66">((B$73-B$63))/10+B63</f>
        <v>2344.3000000000002</v>
      </c>
      <c r="C64" s="2">
        <f t="shared" ref="C64:C72" si="67">((C$73-C$63))/10+C63</f>
        <v>2368.6999999999998</v>
      </c>
      <c r="D64" s="2">
        <f t="shared" ref="D64:D72" si="68">((D$73-D$63))/10+D63</f>
        <v>2394</v>
      </c>
      <c r="E64" s="2">
        <f t="shared" ref="E64:E72" si="69">((E$73-E$63))/10+E63</f>
        <v>2420.3000000000002</v>
      </c>
      <c r="F64" s="2">
        <f t="shared" ref="F64:F72" si="70">((F$73-F$63))/10+F63</f>
        <v>2445.6</v>
      </c>
      <c r="G64" s="2">
        <f t="shared" ref="G64:G72" si="71">((G$73-G$63))/10+G63</f>
        <v>2471.9</v>
      </c>
      <c r="H64" s="2">
        <f t="shared" ref="H64:H72" si="72">((H$73-H$63))/10+H63</f>
        <v>2499.1</v>
      </c>
      <c r="I64" s="2">
        <f t="shared" ref="I64:I72" si="73">((I$73-I$63))/10+I63</f>
        <v>3312.8</v>
      </c>
      <c r="J64" s="2">
        <f t="shared" ref="J64:J72" si="74">((J$73-J$63))/10+J63</f>
        <v>2552.6</v>
      </c>
      <c r="K64" s="2">
        <f t="shared" ref="K64:K72" si="75">((K$73-K$63))/10+K63</f>
        <v>2579.9</v>
      </c>
      <c r="L64" s="2">
        <f t="shared" ref="L64:L72" si="76">((L$73-L$63))/10+L63</f>
        <v>2607.1</v>
      </c>
    </row>
    <row r="65" spans="1:12" x14ac:dyDescent="0.25">
      <c r="A65" s="5">
        <v>620</v>
      </c>
      <c r="B65" s="2">
        <f t="shared" si="66"/>
        <v>2420.6000000000004</v>
      </c>
      <c r="C65" s="2">
        <f t="shared" si="67"/>
        <v>2445.3999999999996</v>
      </c>
      <c r="D65" s="2">
        <f t="shared" si="68"/>
        <v>2471</v>
      </c>
      <c r="E65" s="2">
        <f t="shared" si="69"/>
        <v>2497.6000000000004</v>
      </c>
      <c r="F65" s="2">
        <f t="shared" si="70"/>
        <v>2523.1999999999998</v>
      </c>
      <c r="G65" s="2">
        <f t="shared" si="71"/>
        <v>2549.8000000000002</v>
      </c>
      <c r="H65" s="2">
        <f t="shared" si="72"/>
        <v>2577.1999999999998</v>
      </c>
      <c r="I65" s="2">
        <f t="shared" si="73"/>
        <v>3394.6000000000004</v>
      </c>
      <c r="J65" s="2">
        <f t="shared" si="74"/>
        <v>2631.2</v>
      </c>
      <c r="K65" s="2">
        <f t="shared" si="75"/>
        <v>2658.8</v>
      </c>
      <c r="L65" s="2">
        <f t="shared" si="76"/>
        <v>2686.2</v>
      </c>
    </row>
    <row r="66" spans="1:12" x14ac:dyDescent="0.25">
      <c r="A66" s="5">
        <v>630</v>
      </c>
      <c r="B66" s="2">
        <f t="shared" si="66"/>
        <v>2496.9000000000005</v>
      </c>
      <c r="C66" s="2">
        <f t="shared" si="67"/>
        <v>2522.0999999999995</v>
      </c>
      <c r="D66" s="2">
        <f t="shared" si="68"/>
        <v>2548</v>
      </c>
      <c r="E66" s="2">
        <f t="shared" si="69"/>
        <v>2574.9000000000005</v>
      </c>
      <c r="F66" s="2">
        <f t="shared" si="70"/>
        <v>2600.7999999999997</v>
      </c>
      <c r="G66" s="2">
        <f t="shared" si="71"/>
        <v>2627.7000000000003</v>
      </c>
      <c r="H66" s="2">
        <f t="shared" si="72"/>
        <v>2655.2999999999997</v>
      </c>
      <c r="I66" s="2">
        <f t="shared" si="73"/>
        <v>3476.4000000000005</v>
      </c>
      <c r="J66" s="2">
        <f t="shared" si="74"/>
        <v>2709.7999999999997</v>
      </c>
      <c r="K66" s="2">
        <f t="shared" si="75"/>
        <v>2737.7000000000003</v>
      </c>
      <c r="L66" s="2">
        <f t="shared" si="76"/>
        <v>2765.2999999999997</v>
      </c>
    </row>
    <row r="67" spans="1:12" x14ac:dyDescent="0.25">
      <c r="A67" s="5">
        <v>640</v>
      </c>
      <c r="B67" s="2">
        <f t="shared" si="66"/>
        <v>2573.2000000000007</v>
      </c>
      <c r="C67" s="2">
        <f t="shared" si="67"/>
        <v>2598.7999999999993</v>
      </c>
      <c r="D67" s="2">
        <f t="shared" si="68"/>
        <v>2625</v>
      </c>
      <c r="E67" s="2">
        <f t="shared" si="69"/>
        <v>2652.2000000000007</v>
      </c>
      <c r="F67" s="2">
        <f t="shared" si="70"/>
        <v>2678.3999999999996</v>
      </c>
      <c r="G67" s="2">
        <f t="shared" si="71"/>
        <v>2705.6000000000004</v>
      </c>
      <c r="H67" s="2">
        <f t="shared" si="72"/>
        <v>2733.3999999999996</v>
      </c>
      <c r="I67" s="2">
        <f t="shared" si="73"/>
        <v>3558.2000000000007</v>
      </c>
      <c r="J67" s="2">
        <f t="shared" si="74"/>
        <v>2788.3999999999996</v>
      </c>
      <c r="K67" s="2">
        <f t="shared" si="75"/>
        <v>2816.6000000000004</v>
      </c>
      <c r="L67" s="2">
        <f t="shared" si="76"/>
        <v>2844.3999999999996</v>
      </c>
    </row>
    <row r="68" spans="1:12" x14ac:dyDescent="0.25">
      <c r="A68" s="5">
        <v>650</v>
      </c>
      <c r="B68" s="2">
        <f t="shared" si="66"/>
        <v>2649.5000000000009</v>
      </c>
      <c r="C68" s="2">
        <f t="shared" si="67"/>
        <v>2675.4999999999991</v>
      </c>
      <c r="D68" s="2">
        <f t="shared" si="68"/>
        <v>2702</v>
      </c>
      <c r="E68" s="2">
        <f t="shared" si="69"/>
        <v>2729.5000000000009</v>
      </c>
      <c r="F68" s="2">
        <f t="shared" si="70"/>
        <v>2755.9999999999995</v>
      </c>
      <c r="G68" s="2">
        <f t="shared" si="71"/>
        <v>2783.5000000000005</v>
      </c>
      <c r="H68" s="2">
        <f t="shared" si="72"/>
        <v>2811.4999999999995</v>
      </c>
      <c r="I68" s="2">
        <f t="shared" si="73"/>
        <v>3640.0000000000009</v>
      </c>
      <c r="J68" s="2">
        <f t="shared" si="74"/>
        <v>2866.9999999999995</v>
      </c>
      <c r="K68" s="2">
        <f t="shared" si="75"/>
        <v>2895.5000000000005</v>
      </c>
      <c r="L68" s="2">
        <f t="shared" si="76"/>
        <v>2923.4999999999995</v>
      </c>
    </row>
    <row r="69" spans="1:12" x14ac:dyDescent="0.25">
      <c r="A69" s="5">
        <v>660</v>
      </c>
      <c r="B69" s="2">
        <f t="shared" si="66"/>
        <v>2725.8000000000011</v>
      </c>
      <c r="C69" s="2">
        <f t="shared" si="67"/>
        <v>2752.1999999999989</v>
      </c>
      <c r="D69" s="2">
        <f t="shared" si="68"/>
        <v>2779</v>
      </c>
      <c r="E69" s="2">
        <f t="shared" si="69"/>
        <v>2806.8000000000011</v>
      </c>
      <c r="F69" s="2">
        <f t="shared" si="70"/>
        <v>2833.5999999999995</v>
      </c>
      <c r="G69" s="2">
        <f t="shared" si="71"/>
        <v>2861.4000000000005</v>
      </c>
      <c r="H69" s="2">
        <f t="shared" si="72"/>
        <v>2889.5999999999995</v>
      </c>
      <c r="I69" s="2">
        <f t="shared" si="73"/>
        <v>3721.8000000000011</v>
      </c>
      <c r="J69" s="2">
        <f t="shared" si="74"/>
        <v>2945.5999999999995</v>
      </c>
      <c r="K69" s="2">
        <f t="shared" si="75"/>
        <v>2974.4000000000005</v>
      </c>
      <c r="L69" s="2">
        <f t="shared" si="76"/>
        <v>3002.5999999999995</v>
      </c>
    </row>
    <row r="70" spans="1:12" x14ac:dyDescent="0.25">
      <c r="A70" s="5">
        <v>670</v>
      </c>
      <c r="B70" s="2">
        <f t="shared" si="66"/>
        <v>2802.1000000000013</v>
      </c>
      <c r="C70" s="2">
        <f t="shared" si="67"/>
        <v>2828.8999999999987</v>
      </c>
      <c r="D70" s="2">
        <f t="shared" si="68"/>
        <v>2856</v>
      </c>
      <c r="E70" s="2">
        <f t="shared" si="69"/>
        <v>2884.1000000000013</v>
      </c>
      <c r="F70" s="2">
        <f t="shared" si="70"/>
        <v>2911.1999999999994</v>
      </c>
      <c r="G70" s="2">
        <f t="shared" si="71"/>
        <v>2939.3000000000006</v>
      </c>
      <c r="H70" s="2">
        <f t="shared" si="72"/>
        <v>2967.6999999999994</v>
      </c>
      <c r="I70" s="2">
        <f t="shared" si="73"/>
        <v>3803.6000000000013</v>
      </c>
      <c r="J70" s="2">
        <f t="shared" si="74"/>
        <v>3024.1999999999994</v>
      </c>
      <c r="K70" s="2">
        <f t="shared" si="75"/>
        <v>3053.3000000000006</v>
      </c>
      <c r="L70" s="2">
        <f t="shared" si="76"/>
        <v>3081.6999999999994</v>
      </c>
    </row>
    <row r="71" spans="1:12" x14ac:dyDescent="0.25">
      <c r="A71" s="5">
        <v>680</v>
      </c>
      <c r="B71" s="2">
        <f t="shared" si="66"/>
        <v>2878.4000000000015</v>
      </c>
      <c r="C71" s="2">
        <f t="shared" si="67"/>
        <v>2905.5999999999985</v>
      </c>
      <c r="D71" s="2">
        <f t="shared" si="68"/>
        <v>2933</v>
      </c>
      <c r="E71" s="2">
        <f t="shared" si="69"/>
        <v>2961.4000000000015</v>
      </c>
      <c r="F71" s="2">
        <f t="shared" si="70"/>
        <v>2988.7999999999993</v>
      </c>
      <c r="G71" s="2">
        <f t="shared" si="71"/>
        <v>3017.2000000000007</v>
      </c>
      <c r="H71" s="2">
        <f t="shared" si="72"/>
        <v>3045.7999999999993</v>
      </c>
      <c r="I71" s="2">
        <f t="shared" si="73"/>
        <v>3885.4000000000015</v>
      </c>
      <c r="J71" s="2">
        <f t="shared" si="74"/>
        <v>3102.7999999999993</v>
      </c>
      <c r="K71" s="2">
        <f t="shared" si="75"/>
        <v>3132.2000000000007</v>
      </c>
      <c r="L71" s="2">
        <f t="shared" si="76"/>
        <v>3160.7999999999993</v>
      </c>
    </row>
    <row r="72" spans="1:12" x14ac:dyDescent="0.25">
      <c r="A72" s="5">
        <v>690</v>
      </c>
      <c r="B72" s="2">
        <f t="shared" si="66"/>
        <v>2954.7000000000016</v>
      </c>
      <c r="C72" s="2">
        <f t="shared" si="67"/>
        <v>2982.2999999999984</v>
      </c>
      <c r="D72" s="2">
        <f t="shared" si="68"/>
        <v>3010</v>
      </c>
      <c r="E72" s="2">
        <f t="shared" si="69"/>
        <v>3038.7000000000016</v>
      </c>
      <c r="F72" s="2">
        <f t="shared" si="70"/>
        <v>3066.3999999999992</v>
      </c>
      <c r="G72" s="2">
        <f t="shared" si="71"/>
        <v>3095.1000000000008</v>
      </c>
      <c r="H72" s="2">
        <f t="shared" si="72"/>
        <v>3123.8999999999992</v>
      </c>
      <c r="I72" s="2">
        <f t="shared" si="73"/>
        <v>3967.2000000000016</v>
      </c>
      <c r="J72" s="2">
        <f t="shared" si="74"/>
        <v>3181.3999999999992</v>
      </c>
      <c r="K72" s="2">
        <f t="shared" si="75"/>
        <v>3211.1000000000008</v>
      </c>
      <c r="L72" s="2">
        <f t="shared" si="76"/>
        <v>3239.8999999999992</v>
      </c>
    </row>
    <row r="73" spans="1:12" x14ac:dyDescent="0.25">
      <c r="A73" s="5">
        <v>700</v>
      </c>
      <c r="B73" s="4">
        <v>3031</v>
      </c>
      <c r="C73" s="4">
        <v>3059</v>
      </c>
      <c r="D73" s="4">
        <v>3087</v>
      </c>
      <c r="E73" s="4">
        <v>3116</v>
      </c>
      <c r="F73" s="4">
        <v>3144</v>
      </c>
      <c r="G73" s="4">
        <v>3173</v>
      </c>
      <c r="H73" s="4">
        <v>3202</v>
      </c>
      <c r="I73" s="4">
        <v>4049</v>
      </c>
      <c r="J73" s="4">
        <v>3260</v>
      </c>
      <c r="K73" s="4">
        <v>3290</v>
      </c>
      <c r="L73" s="4">
        <v>3319</v>
      </c>
    </row>
    <row r="74" spans="1:12" x14ac:dyDescent="0.25">
      <c r="A74" s="5">
        <v>710</v>
      </c>
      <c r="B74" s="2">
        <f t="shared" ref="B74:B82" si="77">((B$83-B$73)/10+B73)</f>
        <v>3111.7</v>
      </c>
      <c r="C74" s="2">
        <f t="shared" ref="C74:C82" si="78">((C$83-C$73)/10+C73)</f>
        <v>3139.9</v>
      </c>
      <c r="D74" s="2">
        <f t="shared" ref="D74:D82" si="79">((D$83-D$73)/10+D73)</f>
        <v>3168.1</v>
      </c>
      <c r="E74" s="2">
        <f t="shared" ref="E74:E82" si="80">((E$83-E$73)/10+E73)</f>
        <v>3197.2</v>
      </c>
      <c r="F74" s="2">
        <f t="shared" ref="F74:F82" si="81">((F$83-F$73)/10+F73)</f>
        <v>3225.4</v>
      </c>
      <c r="G74" s="2">
        <f t="shared" ref="G74:G82" si="82">((G$83-G$73)/10+G73)</f>
        <v>3254.5</v>
      </c>
      <c r="H74" s="2">
        <f t="shared" ref="H74:H82" si="83">((H$83-H$73)/10+H73)</f>
        <v>3283.6</v>
      </c>
      <c r="I74" s="2">
        <f t="shared" ref="I74:I82" si="84">((I$83-I$73)/10+I73)</f>
        <v>5993.2</v>
      </c>
      <c r="J74" s="2">
        <f t="shared" ref="J74:J82" si="85">((J$83-J$73)/10+J73)</f>
        <v>3341.9</v>
      </c>
      <c r="K74" s="2">
        <f t="shared" ref="K74:K82" si="86">((K$83-K$73)/10+K73)</f>
        <v>3371.9</v>
      </c>
      <c r="L74" s="2">
        <f t="shared" ref="L74:L82" si="87">((L$83-L$73)/10+L73)</f>
        <v>3401.1</v>
      </c>
    </row>
    <row r="75" spans="1:12" x14ac:dyDescent="0.25">
      <c r="A75" s="5">
        <v>720</v>
      </c>
      <c r="B75" s="2">
        <f t="shared" si="77"/>
        <v>3192.3999999999996</v>
      </c>
      <c r="C75" s="2">
        <f t="shared" si="78"/>
        <v>3220.8</v>
      </c>
      <c r="D75" s="2">
        <f t="shared" si="79"/>
        <v>3249.2</v>
      </c>
      <c r="E75" s="2">
        <f t="shared" si="80"/>
        <v>3278.3999999999996</v>
      </c>
      <c r="F75" s="2">
        <f t="shared" si="81"/>
        <v>3306.8</v>
      </c>
      <c r="G75" s="2">
        <f t="shared" si="82"/>
        <v>3336</v>
      </c>
      <c r="H75" s="2">
        <f t="shared" si="83"/>
        <v>3365.2</v>
      </c>
      <c r="I75" s="2">
        <f t="shared" si="84"/>
        <v>7937.4</v>
      </c>
      <c r="J75" s="2">
        <f t="shared" si="85"/>
        <v>3423.8</v>
      </c>
      <c r="K75" s="2">
        <f t="shared" si="86"/>
        <v>3453.8</v>
      </c>
      <c r="L75" s="2">
        <f t="shared" si="87"/>
        <v>3483.2</v>
      </c>
    </row>
    <row r="76" spans="1:12" x14ac:dyDescent="0.25">
      <c r="A76" s="5">
        <v>730</v>
      </c>
      <c r="B76" s="2">
        <f t="shared" si="77"/>
        <v>3273.0999999999995</v>
      </c>
      <c r="C76" s="2">
        <f t="shared" si="78"/>
        <v>3301.7000000000003</v>
      </c>
      <c r="D76" s="2">
        <f t="shared" si="79"/>
        <v>3330.2999999999997</v>
      </c>
      <c r="E76" s="2">
        <f t="shared" si="80"/>
        <v>3359.5999999999995</v>
      </c>
      <c r="F76" s="2">
        <f t="shared" si="81"/>
        <v>3388.2000000000003</v>
      </c>
      <c r="G76" s="2">
        <f t="shared" si="82"/>
        <v>3417.5</v>
      </c>
      <c r="H76" s="2">
        <f t="shared" si="83"/>
        <v>3446.7999999999997</v>
      </c>
      <c r="I76" s="2">
        <f t="shared" si="84"/>
        <v>9881.6</v>
      </c>
      <c r="J76" s="2">
        <f t="shared" si="85"/>
        <v>3505.7000000000003</v>
      </c>
      <c r="K76" s="2">
        <f t="shared" si="86"/>
        <v>3535.7000000000003</v>
      </c>
      <c r="L76" s="2">
        <f t="shared" si="87"/>
        <v>3565.2999999999997</v>
      </c>
    </row>
    <row r="77" spans="1:12" x14ac:dyDescent="0.25">
      <c r="A77" s="5">
        <v>740</v>
      </c>
      <c r="B77" s="2">
        <f t="shared" si="77"/>
        <v>3353.7999999999993</v>
      </c>
      <c r="C77" s="2">
        <f t="shared" si="78"/>
        <v>3382.6000000000004</v>
      </c>
      <c r="D77" s="2">
        <f t="shared" si="79"/>
        <v>3411.3999999999996</v>
      </c>
      <c r="E77" s="2">
        <f t="shared" si="80"/>
        <v>3440.7999999999993</v>
      </c>
      <c r="F77" s="2">
        <f t="shared" si="81"/>
        <v>3469.6000000000004</v>
      </c>
      <c r="G77" s="2">
        <f t="shared" si="82"/>
        <v>3499</v>
      </c>
      <c r="H77" s="2">
        <f t="shared" si="83"/>
        <v>3528.3999999999996</v>
      </c>
      <c r="I77" s="2">
        <f t="shared" si="84"/>
        <v>11825.800000000001</v>
      </c>
      <c r="J77" s="2">
        <f t="shared" si="85"/>
        <v>3587.6000000000004</v>
      </c>
      <c r="K77" s="2">
        <f t="shared" si="86"/>
        <v>3617.6000000000004</v>
      </c>
      <c r="L77" s="2">
        <f t="shared" si="87"/>
        <v>3647.3999999999996</v>
      </c>
    </row>
    <row r="78" spans="1:12" x14ac:dyDescent="0.25">
      <c r="A78" s="5">
        <v>750</v>
      </c>
      <c r="B78" s="2">
        <f t="shared" si="77"/>
        <v>3434.4999999999991</v>
      </c>
      <c r="C78" s="2">
        <f t="shared" si="78"/>
        <v>3463.5000000000005</v>
      </c>
      <c r="D78" s="2">
        <f t="shared" si="79"/>
        <v>3492.4999999999995</v>
      </c>
      <c r="E78" s="2">
        <f t="shared" si="80"/>
        <v>3521.9999999999991</v>
      </c>
      <c r="F78" s="2">
        <f t="shared" si="81"/>
        <v>3551.0000000000005</v>
      </c>
      <c r="G78" s="2">
        <f t="shared" si="82"/>
        <v>3580.5</v>
      </c>
      <c r="H78" s="2">
        <f t="shared" si="83"/>
        <v>3609.9999999999995</v>
      </c>
      <c r="I78" s="2">
        <f t="shared" si="84"/>
        <v>13770.000000000002</v>
      </c>
      <c r="J78" s="2">
        <f t="shared" si="85"/>
        <v>3669.5000000000005</v>
      </c>
      <c r="K78" s="2">
        <f t="shared" si="86"/>
        <v>3699.5000000000005</v>
      </c>
      <c r="L78" s="2">
        <f t="shared" si="87"/>
        <v>3729.4999999999995</v>
      </c>
    </row>
    <row r="79" spans="1:12" x14ac:dyDescent="0.25">
      <c r="A79" s="5">
        <v>760</v>
      </c>
      <c r="B79" s="2">
        <f t="shared" si="77"/>
        <v>3515.1999999999989</v>
      </c>
      <c r="C79" s="2">
        <f t="shared" si="78"/>
        <v>3544.4000000000005</v>
      </c>
      <c r="D79" s="2">
        <f t="shared" si="79"/>
        <v>3573.5999999999995</v>
      </c>
      <c r="E79" s="2">
        <f t="shared" si="80"/>
        <v>3603.1999999999989</v>
      </c>
      <c r="F79" s="2">
        <f t="shared" si="81"/>
        <v>3632.4000000000005</v>
      </c>
      <c r="G79" s="2">
        <f t="shared" si="82"/>
        <v>3662</v>
      </c>
      <c r="H79" s="2">
        <f t="shared" si="83"/>
        <v>3691.5999999999995</v>
      </c>
      <c r="I79" s="2">
        <f t="shared" si="84"/>
        <v>15714.200000000003</v>
      </c>
      <c r="J79" s="2">
        <f t="shared" si="85"/>
        <v>3751.4000000000005</v>
      </c>
      <c r="K79" s="2">
        <f t="shared" si="86"/>
        <v>3781.4000000000005</v>
      </c>
      <c r="L79" s="2">
        <f t="shared" si="87"/>
        <v>3811.5999999999995</v>
      </c>
    </row>
    <row r="80" spans="1:12" x14ac:dyDescent="0.25">
      <c r="A80" s="5">
        <v>770</v>
      </c>
      <c r="B80" s="2">
        <f t="shared" si="77"/>
        <v>3595.8999999999987</v>
      </c>
      <c r="C80" s="2">
        <f t="shared" si="78"/>
        <v>3625.3000000000006</v>
      </c>
      <c r="D80" s="2">
        <f t="shared" si="79"/>
        <v>3654.6999999999994</v>
      </c>
      <c r="E80" s="2">
        <f t="shared" si="80"/>
        <v>3684.3999999999987</v>
      </c>
      <c r="F80" s="2">
        <f t="shared" si="81"/>
        <v>3713.8000000000006</v>
      </c>
      <c r="G80" s="2">
        <f t="shared" si="82"/>
        <v>3743.5</v>
      </c>
      <c r="H80" s="2">
        <f t="shared" si="83"/>
        <v>3773.1999999999994</v>
      </c>
      <c r="I80" s="2">
        <f t="shared" si="84"/>
        <v>17658.400000000001</v>
      </c>
      <c r="J80" s="2">
        <f t="shared" si="85"/>
        <v>3833.3000000000006</v>
      </c>
      <c r="K80" s="2">
        <f t="shared" si="86"/>
        <v>3863.3000000000006</v>
      </c>
      <c r="L80" s="2">
        <f t="shared" si="87"/>
        <v>3893.6999999999994</v>
      </c>
    </row>
    <row r="81" spans="1:12" x14ac:dyDescent="0.25">
      <c r="A81" s="5">
        <v>780</v>
      </c>
      <c r="B81" s="2">
        <f t="shared" si="77"/>
        <v>3676.5999999999985</v>
      </c>
      <c r="C81" s="2">
        <f t="shared" si="78"/>
        <v>3706.2000000000007</v>
      </c>
      <c r="D81" s="2">
        <f t="shared" si="79"/>
        <v>3735.7999999999993</v>
      </c>
      <c r="E81" s="2">
        <f t="shared" si="80"/>
        <v>3765.5999999999985</v>
      </c>
      <c r="F81" s="2">
        <f t="shared" si="81"/>
        <v>3795.2000000000007</v>
      </c>
      <c r="G81" s="2">
        <f t="shared" si="82"/>
        <v>3825</v>
      </c>
      <c r="H81" s="2">
        <f t="shared" si="83"/>
        <v>3854.7999999999993</v>
      </c>
      <c r="I81" s="2">
        <f t="shared" si="84"/>
        <v>19602.600000000002</v>
      </c>
      <c r="J81" s="2">
        <f t="shared" si="85"/>
        <v>3915.2000000000007</v>
      </c>
      <c r="K81" s="2">
        <f t="shared" si="86"/>
        <v>3945.2000000000007</v>
      </c>
      <c r="L81" s="2">
        <f t="shared" si="87"/>
        <v>3975.7999999999993</v>
      </c>
    </row>
    <row r="82" spans="1:12" x14ac:dyDescent="0.25">
      <c r="A82" s="5">
        <v>790</v>
      </c>
      <c r="B82" s="2">
        <f t="shared" si="77"/>
        <v>3757.2999999999984</v>
      </c>
      <c r="C82" s="2">
        <f t="shared" si="78"/>
        <v>3787.1000000000008</v>
      </c>
      <c r="D82" s="2">
        <f t="shared" si="79"/>
        <v>3816.8999999999992</v>
      </c>
      <c r="E82" s="2">
        <f t="shared" si="80"/>
        <v>3846.7999999999984</v>
      </c>
      <c r="F82" s="2">
        <f t="shared" si="81"/>
        <v>3876.6000000000008</v>
      </c>
      <c r="G82" s="2">
        <f t="shared" si="82"/>
        <v>3906.5</v>
      </c>
      <c r="H82" s="2">
        <f t="shared" si="83"/>
        <v>3936.3999999999992</v>
      </c>
      <c r="I82" s="2">
        <f t="shared" si="84"/>
        <v>21546.800000000003</v>
      </c>
      <c r="J82" s="2">
        <f t="shared" si="85"/>
        <v>3997.1000000000008</v>
      </c>
      <c r="K82" s="2">
        <f t="shared" si="86"/>
        <v>4027.1000000000008</v>
      </c>
      <c r="L82" s="2">
        <f t="shared" si="87"/>
        <v>4057.8999999999992</v>
      </c>
    </row>
    <row r="83" spans="1:12" x14ac:dyDescent="0.25">
      <c r="A83" s="5">
        <v>800</v>
      </c>
      <c r="B83" s="4">
        <v>3838</v>
      </c>
      <c r="C83" s="4">
        <v>3868</v>
      </c>
      <c r="D83" s="4">
        <v>3898</v>
      </c>
      <c r="E83" s="4">
        <v>3928</v>
      </c>
      <c r="F83" s="4">
        <v>3958</v>
      </c>
      <c r="G83" s="4">
        <v>3988</v>
      </c>
      <c r="H83" s="4">
        <v>4018</v>
      </c>
      <c r="I83" s="4">
        <v>23491</v>
      </c>
      <c r="J83" s="4">
        <v>4079</v>
      </c>
      <c r="K83" s="4">
        <v>4109</v>
      </c>
      <c r="L83" s="4">
        <v>4140</v>
      </c>
    </row>
    <row r="84" spans="1:12" x14ac:dyDescent="0.25">
      <c r="A84" s="5">
        <v>810</v>
      </c>
      <c r="B84" s="2">
        <f t="shared" ref="B84:B92" si="88">((B$93-B$83)/10+B83)</f>
        <v>3921.2</v>
      </c>
      <c r="C84" s="2">
        <f t="shared" ref="C84:C92" si="89">((C$93-C$83)/10+C83)</f>
        <v>3951.3</v>
      </c>
      <c r="D84" s="2">
        <f t="shared" ref="D84:D92" si="90">((D$93-D$83)/10+D83)</f>
        <v>3981.4</v>
      </c>
      <c r="E84" s="2">
        <f t="shared" ref="E84:E92" si="91">((E$93-E$83)/10+E83)</f>
        <v>4011.5</v>
      </c>
      <c r="F84" s="2">
        <f t="shared" ref="F84:F92" si="92">((F$93-F$83)/10+F83)</f>
        <v>4041.6</v>
      </c>
      <c r="G84" s="2">
        <f t="shared" ref="G84:G92" si="93">((G$93-G$83)/10+G83)</f>
        <v>4071.7</v>
      </c>
      <c r="H84" s="2">
        <f t="shared" ref="H84:H92" si="94">((H$93-H$83)/10+H83)</f>
        <v>4101.8</v>
      </c>
      <c r="I84" s="2">
        <f t="shared" ref="I84:I92" si="95">((I$93-I$83)/10+I83)</f>
        <v>21630.6</v>
      </c>
      <c r="J84" s="2">
        <f t="shared" ref="J84:J92" si="96">((J$93-J$83)/10+J83)</f>
        <v>4162.8999999999996</v>
      </c>
      <c r="K84" s="2">
        <f t="shared" ref="K84:K92" si="97">((K$93-K$83)/10+K83)</f>
        <v>4193</v>
      </c>
      <c r="L84" s="2">
        <f t="shared" ref="L84:L92" si="98">((L$93-L$83)/10+L83)</f>
        <v>4224</v>
      </c>
    </row>
    <row r="85" spans="1:12" x14ac:dyDescent="0.25">
      <c r="A85" s="5">
        <v>820</v>
      </c>
      <c r="B85" s="2">
        <f t="shared" si="88"/>
        <v>4004.3999999999996</v>
      </c>
      <c r="C85" s="2">
        <f t="shared" si="89"/>
        <v>4034.6000000000004</v>
      </c>
      <c r="D85" s="2">
        <f t="shared" si="90"/>
        <v>4064.8</v>
      </c>
      <c r="E85" s="2">
        <f t="shared" si="91"/>
        <v>4095</v>
      </c>
      <c r="F85" s="2">
        <f t="shared" si="92"/>
        <v>4125.2</v>
      </c>
      <c r="G85" s="2">
        <f t="shared" si="93"/>
        <v>4155.3999999999996</v>
      </c>
      <c r="H85" s="2">
        <f t="shared" si="94"/>
        <v>4185.6000000000004</v>
      </c>
      <c r="I85" s="2">
        <f t="shared" si="95"/>
        <v>19770.199999999997</v>
      </c>
      <c r="J85" s="2">
        <f t="shared" si="96"/>
        <v>4246.7999999999993</v>
      </c>
      <c r="K85" s="2">
        <f t="shared" si="97"/>
        <v>4277</v>
      </c>
      <c r="L85" s="2">
        <f t="shared" si="98"/>
        <v>4308</v>
      </c>
    </row>
    <row r="86" spans="1:12" x14ac:dyDescent="0.25">
      <c r="A86" s="5">
        <v>830</v>
      </c>
      <c r="B86" s="2">
        <f t="shared" si="88"/>
        <v>4087.5999999999995</v>
      </c>
      <c r="C86" s="2">
        <f t="shared" si="89"/>
        <v>4117.9000000000005</v>
      </c>
      <c r="D86" s="2">
        <f t="shared" si="90"/>
        <v>4148.2</v>
      </c>
      <c r="E86" s="2">
        <f t="shared" si="91"/>
        <v>4178.5</v>
      </c>
      <c r="F86" s="2">
        <f t="shared" si="92"/>
        <v>4208.8</v>
      </c>
      <c r="G86" s="2">
        <f t="shared" si="93"/>
        <v>4239.0999999999995</v>
      </c>
      <c r="H86" s="2">
        <f t="shared" si="94"/>
        <v>4269.4000000000005</v>
      </c>
      <c r="I86" s="2">
        <f t="shared" si="95"/>
        <v>17909.799999999996</v>
      </c>
      <c r="J86" s="2">
        <f t="shared" si="96"/>
        <v>4330.6999999999989</v>
      </c>
      <c r="K86" s="2">
        <f t="shared" si="97"/>
        <v>4361</v>
      </c>
      <c r="L86" s="2">
        <f t="shared" si="98"/>
        <v>4392</v>
      </c>
    </row>
    <row r="87" spans="1:12" x14ac:dyDescent="0.25">
      <c r="A87" s="5">
        <v>840</v>
      </c>
      <c r="B87" s="2">
        <f t="shared" si="88"/>
        <v>4170.7999999999993</v>
      </c>
      <c r="C87" s="2">
        <f t="shared" si="89"/>
        <v>4201.2000000000007</v>
      </c>
      <c r="D87" s="2">
        <f t="shared" si="90"/>
        <v>4231.5999999999995</v>
      </c>
      <c r="E87" s="2">
        <f t="shared" si="91"/>
        <v>4262</v>
      </c>
      <c r="F87" s="2">
        <f t="shared" si="92"/>
        <v>4292.4000000000005</v>
      </c>
      <c r="G87" s="2">
        <f t="shared" si="93"/>
        <v>4322.7999999999993</v>
      </c>
      <c r="H87" s="2">
        <f t="shared" si="94"/>
        <v>4353.2000000000007</v>
      </c>
      <c r="I87" s="2">
        <f t="shared" si="95"/>
        <v>16049.399999999996</v>
      </c>
      <c r="J87" s="2">
        <f t="shared" si="96"/>
        <v>4414.5999999999985</v>
      </c>
      <c r="K87" s="2">
        <f t="shared" si="97"/>
        <v>4445</v>
      </c>
      <c r="L87" s="2">
        <f t="shared" si="98"/>
        <v>4476</v>
      </c>
    </row>
    <row r="88" spans="1:12" x14ac:dyDescent="0.25">
      <c r="A88" s="5">
        <v>850</v>
      </c>
      <c r="B88" s="2">
        <f t="shared" si="88"/>
        <v>4253.9999999999991</v>
      </c>
      <c r="C88" s="2">
        <f t="shared" si="89"/>
        <v>4284.5000000000009</v>
      </c>
      <c r="D88" s="2">
        <f t="shared" si="90"/>
        <v>4314.9999999999991</v>
      </c>
      <c r="E88" s="2">
        <f t="shared" si="91"/>
        <v>4345.5</v>
      </c>
      <c r="F88" s="2">
        <f t="shared" si="92"/>
        <v>4376.0000000000009</v>
      </c>
      <c r="G88" s="2">
        <f t="shared" si="93"/>
        <v>4406.4999999999991</v>
      </c>
      <c r="H88" s="2">
        <f t="shared" si="94"/>
        <v>4437.0000000000009</v>
      </c>
      <c r="I88" s="2">
        <f t="shared" si="95"/>
        <v>14188.999999999996</v>
      </c>
      <c r="J88" s="2">
        <f t="shared" si="96"/>
        <v>4498.4999999999982</v>
      </c>
      <c r="K88" s="2">
        <f t="shared" si="97"/>
        <v>4529</v>
      </c>
      <c r="L88" s="2">
        <f t="shared" si="98"/>
        <v>4560</v>
      </c>
    </row>
    <row r="89" spans="1:12" x14ac:dyDescent="0.25">
      <c r="A89" s="5">
        <v>860</v>
      </c>
      <c r="B89" s="2">
        <f t="shared" si="88"/>
        <v>4337.1999999999989</v>
      </c>
      <c r="C89" s="2">
        <f t="shared" si="89"/>
        <v>4367.8000000000011</v>
      </c>
      <c r="D89" s="2">
        <f t="shared" si="90"/>
        <v>4398.3999999999987</v>
      </c>
      <c r="E89" s="2">
        <f t="shared" si="91"/>
        <v>4429</v>
      </c>
      <c r="F89" s="2">
        <f t="shared" si="92"/>
        <v>4459.6000000000013</v>
      </c>
      <c r="G89" s="2">
        <f t="shared" si="93"/>
        <v>4490.1999999999989</v>
      </c>
      <c r="H89" s="2">
        <f t="shared" si="94"/>
        <v>4520.8000000000011</v>
      </c>
      <c r="I89" s="2">
        <f t="shared" si="95"/>
        <v>12328.599999999997</v>
      </c>
      <c r="J89" s="2">
        <f t="shared" si="96"/>
        <v>4582.3999999999978</v>
      </c>
      <c r="K89" s="2">
        <f t="shared" si="97"/>
        <v>4613</v>
      </c>
      <c r="L89" s="2">
        <f t="shared" si="98"/>
        <v>4644</v>
      </c>
    </row>
    <row r="90" spans="1:12" x14ac:dyDescent="0.25">
      <c r="A90" s="5">
        <v>870</v>
      </c>
      <c r="B90" s="2">
        <f t="shared" si="88"/>
        <v>4420.3999999999987</v>
      </c>
      <c r="C90" s="2">
        <f t="shared" si="89"/>
        <v>4451.1000000000013</v>
      </c>
      <c r="D90" s="2">
        <f t="shared" si="90"/>
        <v>4481.7999999999984</v>
      </c>
      <c r="E90" s="2">
        <f t="shared" si="91"/>
        <v>4512.5</v>
      </c>
      <c r="F90" s="2">
        <f t="shared" si="92"/>
        <v>4543.2000000000016</v>
      </c>
      <c r="G90" s="2">
        <f t="shared" si="93"/>
        <v>4573.8999999999987</v>
      </c>
      <c r="H90" s="2">
        <f t="shared" si="94"/>
        <v>4604.6000000000013</v>
      </c>
      <c r="I90" s="2">
        <f t="shared" si="95"/>
        <v>10468.199999999997</v>
      </c>
      <c r="J90" s="2">
        <f t="shared" si="96"/>
        <v>4666.2999999999975</v>
      </c>
      <c r="K90" s="2">
        <f t="shared" si="97"/>
        <v>4697</v>
      </c>
      <c r="L90" s="2">
        <f t="shared" si="98"/>
        <v>4728</v>
      </c>
    </row>
    <row r="91" spans="1:12" x14ac:dyDescent="0.25">
      <c r="A91" s="5">
        <v>880</v>
      </c>
      <c r="B91" s="2">
        <f t="shared" si="88"/>
        <v>4503.5999999999985</v>
      </c>
      <c r="C91" s="2">
        <f t="shared" si="89"/>
        <v>4534.4000000000015</v>
      </c>
      <c r="D91" s="2">
        <f t="shared" si="90"/>
        <v>4565.199999999998</v>
      </c>
      <c r="E91" s="2">
        <f t="shared" si="91"/>
        <v>4596</v>
      </c>
      <c r="F91" s="2">
        <f t="shared" si="92"/>
        <v>4626.800000000002</v>
      </c>
      <c r="G91" s="2">
        <f t="shared" si="93"/>
        <v>4657.5999999999985</v>
      </c>
      <c r="H91" s="2">
        <f t="shared" si="94"/>
        <v>4688.4000000000015</v>
      </c>
      <c r="I91" s="2">
        <f t="shared" si="95"/>
        <v>8607.7999999999975</v>
      </c>
      <c r="J91" s="2">
        <f t="shared" si="96"/>
        <v>4750.1999999999971</v>
      </c>
      <c r="K91" s="2">
        <f t="shared" si="97"/>
        <v>4781</v>
      </c>
      <c r="L91" s="2">
        <f t="shared" si="98"/>
        <v>4812</v>
      </c>
    </row>
    <row r="92" spans="1:12" x14ac:dyDescent="0.25">
      <c r="A92" s="5">
        <v>890</v>
      </c>
      <c r="B92" s="2">
        <f t="shared" si="88"/>
        <v>4586.7999999999984</v>
      </c>
      <c r="C92" s="2">
        <f t="shared" si="89"/>
        <v>4617.7000000000016</v>
      </c>
      <c r="D92" s="2">
        <f t="shared" si="90"/>
        <v>4648.5999999999976</v>
      </c>
      <c r="E92" s="2">
        <f t="shared" si="91"/>
        <v>4679.5</v>
      </c>
      <c r="F92" s="2">
        <f t="shared" si="92"/>
        <v>4710.4000000000024</v>
      </c>
      <c r="G92" s="2">
        <f t="shared" si="93"/>
        <v>4741.2999999999984</v>
      </c>
      <c r="H92" s="2">
        <f t="shared" si="94"/>
        <v>4772.2000000000016</v>
      </c>
      <c r="I92" s="2">
        <f t="shared" si="95"/>
        <v>6747.3999999999978</v>
      </c>
      <c r="J92" s="2">
        <f t="shared" si="96"/>
        <v>4834.0999999999967</v>
      </c>
      <c r="K92" s="2">
        <f t="shared" si="97"/>
        <v>4865</v>
      </c>
      <c r="L92" s="2">
        <f t="shared" si="98"/>
        <v>4896</v>
      </c>
    </row>
    <row r="93" spans="1:12" x14ac:dyDescent="0.25">
      <c r="A93" s="5">
        <v>900</v>
      </c>
      <c r="B93" s="4">
        <v>4670</v>
      </c>
      <c r="C93" s="4">
        <v>4701</v>
      </c>
      <c r="D93" s="4">
        <v>4732</v>
      </c>
      <c r="E93" s="4">
        <v>4763</v>
      </c>
      <c r="F93" s="4">
        <v>4794</v>
      </c>
      <c r="G93" s="4">
        <v>4825</v>
      </c>
      <c r="H93" s="4">
        <v>4856</v>
      </c>
      <c r="I93" s="4">
        <v>4887</v>
      </c>
      <c r="J93" s="4">
        <v>4918</v>
      </c>
      <c r="K93" s="4">
        <v>4949</v>
      </c>
      <c r="L93" s="4">
        <v>4980</v>
      </c>
    </row>
    <row r="94" spans="1:12" x14ac:dyDescent="0.25">
      <c r="A94" s="5">
        <v>910</v>
      </c>
      <c r="B94" s="2">
        <f t="shared" ref="B94:B102" si="99">((B$103-B$93)/10+B93)</f>
        <v>4755.3</v>
      </c>
      <c r="C94" s="2">
        <f t="shared" ref="C94:C102" si="100">((C$103-C$93)/10+C93)</f>
        <v>4786.3999999999996</v>
      </c>
      <c r="D94" s="2">
        <f t="shared" ref="D94:D102" si="101">((D$103-D$93)/10+D93)</f>
        <v>4817.3999999999996</v>
      </c>
      <c r="E94" s="2">
        <f t="shared" ref="E94:E102" si="102">((E$103-E$93)/10+E93)</f>
        <v>4848.5</v>
      </c>
      <c r="F94" s="2">
        <f t="shared" ref="F94:F102" si="103">((F$103-F$93)/10+F93)</f>
        <v>4879.5</v>
      </c>
      <c r="G94" s="2">
        <f t="shared" ref="G94:G102" si="104">((G$103-G$93)/10+G93)</f>
        <v>4910.6000000000004</v>
      </c>
      <c r="H94" s="2">
        <f t="shared" ref="H94:H102" si="105">((H$103-H$93)/10+H93)</f>
        <v>4941.7</v>
      </c>
      <c r="I94" s="2">
        <f t="shared" ref="I94:I102" si="106">((I$103-I$93)/10+I93)</f>
        <v>4972.8</v>
      </c>
      <c r="J94" s="2">
        <f t="shared" ref="J94:J102" si="107">((J$103-J$93)/10+J93)</f>
        <v>5003.8</v>
      </c>
      <c r="K94" s="2">
        <f t="shared" ref="K94:K102" si="108">((K$103-K$93)/10+K93)</f>
        <v>5034.8999999999996</v>
      </c>
      <c r="L94" s="2">
        <f t="shared" ref="L94:L102" si="109">((L$103-L$93)/10+L93)</f>
        <v>5066</v>
      </c>
    </row>
    <row r="95" spans="1:12" x14ac:dyDescent="0.25">
      <c r="A95" s="5">
        <v>920</v>
      </c>
      <c r="B95" s="2">
        <f t="shared" si="99"/>
        <v>4840.6000000000004</v>
      </c>
      <c r="C95" s="2">
        <f t="shared" si="100"/>
        <v>4871.7999999999993</v>
      </c>
      <c r="D95" s="2">
        <f t="shared" si="101"/>
        <v>4902.7999999999993</v>
      </c>
      <c r="E95" s="2">
        <f t="shared" si="102"/>
        <v>4934</v>
      </c>
      <c r="F95" s="2">
        <f t="shared" si="103"/>
        <v>4965</v>
      </c>
      <c r="G95" s="2">
        <f t="shared" si="104"/>
        <v>4996.2000000000007</v>
      </c>
      <c r="H95" s="2">
        <f t="shared" si="105"/>
        <v>5027.3999999999996</v>
      </c>
      <c r="I95" s="2">
        <f t="shared" si="106"/>
        <v>5058.6000000000004</v>
      </c>
      <c r="J95" s="2">
        <f t="shared" si="107"/>
        <v>5089.6000000000004</v>
      </c>
      <c r="K95" s="2">
        <f t="shared" si="108"/>
        <v>5120.7999999999993</v>
      </c>
      <c r="L95" s="2">
        <f t="shared" si="109"/>
        <v>5152</v>
      </c>
    </row>
    <row r="96" spans="1:12" x14ac:dyDescent="0.25">
      <c r="A96" s="5">
        <v>930</v>
      </c>
      <c r="B96" s="2">
        <f t="shared" si="99"/>
        <v>4925.9000000000005</v>
      </c>
      <c r="C96" s="2">
        <f t="shared" si="100"/>
        <v>4957.1999999999989</v>
      </c>
      <c r="D96" s="2">
        <f t="shared" si="101"/>
        <v>4988.1999999999989</v>
      </c>
      <c r="E96" s="2">
        <f t="shared" si="102"/>
        <v>5019.5</v>
      </c>
      <c r="F96" s="2">
        <f t="shared" si="103"/>
        <v>5050.5</v>
      </c>
      <c r="G96" s="2">
        <f t="shared" si="104"/>
        <v>5081.8000000000011</v>
      </c>
      <c r="H96" s="2">
        <f t="shared" si="105"/>
        <v>5113.0999999999995</v>
      </c>
      <c r="I96" s="2">
        <f t="shared" si="106"/>
        <v>5144.4000000000005</v>
      </c>
      <c r="J96" s="2">
        <f t="shared" si="107"/>
        <v>5175.4000000000005</v>
      </c>
      <c r="K96" s="2">
        <f t="shared" si="108"/>
        <v>5206.6999999999989</v>
      </c>
      <c r="L96" s="2">
        <f t="shared" si="109"/>
        <v>5238</v>
      </c>
    </row>
    <row r="97" spans="1:12" x14ac:dyDescent="0.25">
      <c r="A97" s="5">
        <v>940</v>
      </c>
      <c r="B97" s="2">
        <f t="shared" si="99"/>
        <v>5011.2000000000007</v>
      </c>
      <c r="C97" s="2">
        <f t="shared" si="100"/>
        <v>5042.5999999999985</v>
      </c>
      <c r="D97" s="2">
        <f t="shared" si="101"/>
        <v>5073.5999999999985</v>
      </c>
      <c r="E97" s="2">
        <f t="shared" si="102"/>
        <v>5105</v>
      </c>
      <c r="F97" s="2">
        <f t="shared" si="103"/>
        <v>5136</v>
      </c>
      <c r="G97" s="2">
        <f t="shared" si="104"/>
        <v>5167.4000000000015</v>
      </c>
      <c r="H97" s="2">
        <f t="shared" si="105"/>
        <v>5198.7999999999993</v>
      </c>
      <c r="I97" s="2">
        <f t="shared" si="106"/>
        <v>5230.2000000000007</v>
      </c>
      <c r="J97" s="2">
        <f t="shared" si="107"/>
        <v>5261.2000000000007</v>
      </c>
      <c r="K97" s="2">
        <f t="shared" si="108"/>
        <v>5292.5999999999985</v>
      </c>
      <c r="L97" s="2">
        <f t="shared" si="109"/>
        <v>5324</v>
      </c>
    </row>
    <row r="98" spans="1:12" x14ac:dyDescent="0.25">
      <c r="A98" s="5">
        <v>950</v>
      </c>
      <c r="B98" s="2">
        <f t="shared" si="99"/>
        <v>5096.5000000000009</v>
      </c>
      <c r="C98" s="2">
        <f t="shared" si="100"/>
        <v>5127.9999999999982</v>
      </c>
      <c r="D98" s="2">
        <f t="shared" si="101"/>
        <v>5158.9999999999982</v>
      </c>
      <c r="E98" s="2">
        <f t="shared" si="102"/>
        <v>5190.5</v>
      </c>
      <c r="F98" s="2">
        <f t="shared" si="103"/>
        <v>5221.5</v>
      </c>
      <c r="G98" s="2">
        <f t="shared" si="104"/>
        <v>5253.0000000000018</v>
      </c>
      <c r="H98" s="2">
        <f t="shared" si="105"/>
        <v>5284.4999999999991</v>
      </c>
      <c r="I98" s="2">
        <f t="shared" si="106"/>
        <v>5316.0000000000009</v>
      </c>
      <c r="J98" s="2">
        <f t="shared" si="107"/>
        <v>5347.0000000000009</v>
      </c>
      <c r="K98" s="2">
        <f t="shared" si="108"/>
        <v>5378.4999999999982</v>
      </c>
      <c r="L98" s="2">
        <f t="shared" si="109"/>
        <v>5410</v>
      </c>
    </row>
    <row r="99" spans="1:12" x14ac:dyDescent="0.25">
      <c r="A99" s="5">
        <v>960</v>
      </c>
      <c r="B99" s="2">
        <f t="shared" si="99"/>
        <v>5181.8000000000011</v>
      </c>
      <c r="C99" s="2">
        <f t="shared" si="100"/>
        <v>5213.3999999999978</v>
      </c>
      <c r="D99" s="2">
        <f t="shared" si="101"/>
        <v>5244.3999999999978</v>
      </c>
      <c r="E99" s="2">
        <f t="shared" si="102"/>
        <v>5276</v>
      </c>
      <c r="F99" s="2">
        <f t="shared" si="103"/>
        <v>5307</v>
      </c>
      <c r="G99" s="2">
        <f t="shared" si="104"/>
        <v>5338.6000000000022</v>
      </c>
      <c r="H99" s="2">
        <f t="shared" si="105"/>
        <v>5370.1999999999989</v>
      </c>
      <c r="I99" s="2">
        <f t="shared" si="106"/>
        <v>5401.8000000000011</v>
      </c>
      <c r="J99" s="2">
        <f t="shared" si="107"/>
        <v>5432.8000000000011</v>
      </c>
      <c r="K99" s="2">
        <f t="shared" si="108"/>
        <v>5464.3999999999978</v>
      </c>
      <c r="L99" s="2">
        <f t="shared" si="109"/>
        <v>5496</v>
      </c>
    </row>
    <row r="100" spans="1:12" x14ac:dyDescent="0.25">
      <c r="A100" s="5">
        <v>970</v>
      </c>
      <c r="B100" s="2">
        <f t="shared" si="99"/>
        <v>5267.1000000000013</v>
      </c>
      <c r="C100" s="2">
        <f t="shared" si="100"/>
        <v>5298.7999999999975</v>
      </c>
      <c r="D100" s="2">
        <f t="shared" si="101"/>
        <v>5329.7999999999975</v>
      </c>
      <c r="E100" s="2">
        <f t="shared" si="102"/>
        <v>5361.5</v>
      </c>
      <c r="F100" s="2">
        <f t="shared" si="103"/>
        <v>5392.5</v>
      </c>
      <c r="G100" s="2">
        <f t="shared" si="104"/>
        <v>5424.2000000000025</v>
      </c>
      <c r="H100" s="2">
        <f t="shared" si="105"/>
        <v>5455.8999999999987</v>
      </c>
      <c r="I100" s="2">
        <f t="shared" si="106"/>
        <v>5487.6000000000013</v>
      </c>
      <c r="J100" s="2">
        <f t="shared" si="107"/>
        <v>5518.6000000000013</v>
      </c>
      <c r="K100" s="2">
        <f t="shared" si="108"/>
        <v>5550.2999999999975</v>
      </c>
      <c r="L100" s="2">
        <f t="shared" si="109"/>
        <v>5582</v>
      </c>
    </row>
    <row r="101" spans="1:12" x14ac:dyDescent="0.25">
      <c r="A101" s="5">
        <v>980</v>
      </c>
      <c r="B101" s="2">
        <f t="shared" si="99"/>
        <v>5352.4000000000015</v>
      </c>
      <c r="C101" s="2">
        <f t="shared" si="100"/>
        <v>5384.1999999999971</v>
      </c>
      <c r="D101" s="2">
        <f t="shared" si="101"/>
        <v>5415.1999999999971</v>
      </c>
      <c r="E101" s="2">
        <f t="shared" si="102"/>
        <v>5447</v>
      </c>
      <c r="F101" s="2">
        <f t="shared" si="103"/>
        <v>5478</v>
      </c>
      <c r="G101" s="2">
        <f t="shared" si="104"/>
        <v>5509.8000000000029</v>
      </c>
      <c r="H101" s="2">
        <f t="shared" si="105"/>
        <v>5541.5999999999985</v>
      </c>
      <c r="I101" s="2">
        <f t="shared" si="106"/>
        <v>5573.4000000000015</v>
      </c>
      <c r="J101" s="2">
        <f t="shared" si="107"/>
        <v>5604.4000000000015</v>
      </c>
      <c r="K101" s="2">
        <f t="shared" si="108"/>
        <v>5636.1999999999971</v>
      </c>
      <c r="L101" s="2">
        <f t="shared" si="109"/>
        <v>5668</v>
      </c>
    </row>
    <row r="102" spans="1:12" x14ac:dyDescent="0.25">
      <c r="A102" s="5">
        <v>990</v>
      </c>
      <c r="B102" s="2">
        <f t="shared" si="99"/>
        <v>5437.7000000000016</v>
      </c>
      <c r="C102" s="2">
        <f t="shared" si="100"/>
        <v>5469.5999999999967</v>
      </c>
      <c r="D102" s="2">
        <f t="shared" si="101"/>
        <v>5500.5999999999967</v>
      </c>
      <c r="E102" s="2">
        <f t="shared" si="102"/>
        <v>5532.5</v>
      </c>
      <c r="F102" s="2">
        <f t="shared" si="103"/>
        <v>5563.5</v>
      </c>
      <c r="G102" s="2">
        <f t="shared" si="104"/>
        <v>5595.4000000000033</v>
      </c>
      <c r="H102" s="2">
        <f t="shared" si="105"/>
        <v>5627.2999999999984</v>
      </c>
      <c r="I102" s="2">
        <f t="shared" si="106"/>
        <v>5659.2000000000016</v>
      </c>
      <c r="J102" s="2">
        <f t="shared" si="107"/>
        <v>5690.2000000000016</v>
      </c>
      <c r="K102" s="2">
        <f t="shared" si="108"/>
        <v>5722.0999999999967</v>
      </c>
      <c r="L102" s="2">
        <f t="shared" si="109"/>
        <v>5754</v>
      </c>
    </row>
    <row r="103" spans="1:12" x14ac:dyDescent="0.25">
      <c r="A103" s="5">
        <v>1000</v>
      </c>
      <c r="B103" s="4">
        <v>5523</v>
      </c>
      <c r="C103" s="4">
        <v>5555</v>
      </c>
      <c r="D103" s="4">
        <v>5586</v>
      </c>
      <c r="E103" s="4">
        <v>5618</v>
      </c>
      <c r="F103" s="4">
        <v>5649</v>
      </c>
      <c r="G103" s="4">
        <v>5681</v>
      </c>
      <c r="H103" s="4">
        <v>5713</v>
      </c>
      <c r="I103" s="4">
        <v>5745</v>
      </c>
      <c r="J103" s="4">
        <v>5776</v>
      </c>
      <c r="K103" s="4">
        <v>5808</v>
      </c>
      <c r="L103" s="4">
        <v>5840</v>
      </c>
    </row>
    <row r="104" spans="1:12" x14ac:dyDescent="0.25">
      <c r="A104" s="5">
        <v>1010</v>
      </c>
      <c r="B104" s="2">
        <f t="shared" ref="B104:B112" si="110">((B$113-B$103)/10+B103)</f>
        <v>5610.1</v>
      </c>
      <c r="C104" s="2">
        <f t="shared" ref="C104:C112" si="111">((C$113-C$103)/10+C103)</f>
        <v>5642.1</v>
      </c>
      <c r="D104" s="2">
        <f t="shared" ref="D104:D112" si="112">((D$113-D$103)/10+D103)</f>
        <v>5673.3</v>
      </c>
      <c r="E104" s="2">
        <f t="shared" ref="E104:E112" si="113">((E$113-E$103)/10+E103)</f>
        <v>5705.3</v>
      </c>
      <c r="F104" s="2">
        <f t="shared" ref="F104:F112" si="114">((F$113-F$103)/10+F103)</f>
        <v>5736.5</v>
      </c>
      <c r="G104" s="2">
        <f t="shared" ref="G104:G112" si="115">((G$113-G$103)/10+G103)</f>
        <v>5768.5</v>
      </c>
      <c r="H104" s="2">
        <f t="shared" ref="H104:H112" si="116">((H$113-H$103)/10+H103)</f>
        <v>5800.6</v>
      </c>
      <c r="I104" s="2">
        <f t="shared" ref="I104:I112" si="117">((I$113-I$103)/10+I103)</f>
        <v>5832.6</v>
      </c>
      <c r="J104" s="2">
        <f t="shared" ref="J104:J112" si="118">((J$113-J$103)/10+J103)</f>
        <v>5853.8</v>
      </c>
      <c r="K104" s="2">
        <f t="shared" ref="K104:K112" si="119">((K$113-K$103)/10+K103)</f>
        <v>5895.8</v>
      </c>
      <c r="L104" s="2">
        <f t="shared" ref="L104:L112" si="120">((L$113-L$103)/10+L103)</f>
        <v>5927.9</v>
      </c>
    </row>
    <row r="105" spans="1:12" x14ac:dyDescent="0.25">
      <c r="A105" s="5">
        <v>1020</v>
      </c>
      <c r="B105" s="2">
        <f t="shared" si="110"/>
        <v>5697.2000000000007</v>
      </c>
      <c r="C105" s="2">
        <f t="shared" si="111"/>
        <v>5729.2000000000007</v>
      </c>
      <c r="D105" s="2">
        <f t="shared" si="112"/>
        <v>5760.6</v>
      </c>
      <c r="E105" s="2">
        <f t="shared" si="113"/>
        <v>5792.6</v>
      </c>
      <c r="F105" s="2">
        <f t="shared" si="114"/>
        <v>5824</v>
      </c>
      <c r="G105" s="2">
        <f t="shared" si="115"/>
        <v>5856</v>
      </c>
      <c r="H105" s="2">
        <f t="shared" si="116"/>
        <v>5888.2000000000007</v>
      </c>
      <c r="I105" s="2">
        <f t="shared" si="117"/>
        <v>5920.2000000000007</v>
      </c>
      <c r="J105" s="2">
        <f t="shared" si="118"/>
        <v>5931.6</v>
      </c>
      <c r="K105" s="2">
        <f t="shared" si="119"/>
        <v>5983.6</v>
      </c>
      <c r="L105" s="2">
        <f t="shared" si="120"/>
        <v>6015.7999999999993</v>
      </c>
    </row>
    <row r="106" spans="1:12" x14ac:dyDescent="0.25">
      <c r="A106" s="5">
        <v>1030</v>
      </c>
      <c r="B106" s="2">
        <f t="shared" si="110"/>
        <v>5784.3000000000011</v>
      </c>
      <c r="C106" s="2">
        <f t="shared" si="111"/>
        <v>5816.3000000000011</v>
      </c>
      <c r="D106" s="2">
        <f t="shared" si="112"/>
        <v>5847.9000000000005</v>
      </c>
      <c r="E106" s="2">
        <f t="shared" si="113"/>
        <v>5879.9000000000005</v>
      </c>
      <c r="F106" s="2">
        <f t="shared" si="114"/>
        <v>5911.5</v>
      </c>
      <c r="G106" s="2">
        <f t="shared" si="115"/>
        <v>5943.5</v>
      </c>
      <c r="H106" s="2">
        <f t="shared" si="116"/>
        <v>5975.8000000000011</v>
      </c>
      <c r="I106" s="2">
        <f t="shared" si="117"/>
        <v>6007.8000000000011</v>
      </c>
      <c r="J106" s="2">
        <f t="shared" si="118"/>
        <v>6009.4000000000005</v>
      </c>
      <c r="K106" s="2">
        <f t="shared" si="119"/>
        <v>6071.4000000000005</v>
      </c>
      <c r="L106" s="2">
        <f t="shared" si="120"/>
        <v>6103.6999999999989</v>
      </c>
    </row>
    <row r="107" spans="1:12" x14ac:dyDescent="0.25">
      <c r="A107" s="5">
        <v>1040</v>
      </c>
      <c r="B107" s="2">
        <f t="shared" si="110"/>
        <v>5871.4000000000015</v>
      </c>
      <c r="C107" s="2">
        <f t="shared" si="111"/>
        <v>5903.4000000000015</v>
      </c>
      <c r="D107" s="2">
        <f t="shared" si="112"/>
        <v>5935.2000000000007</v>
      </c>
      <c r="E107" s="2">
        <f t="shared" si="113"/>
        <v>5967.2000000000007</v>
      </c>
      <c r="F107" s="2">
        <f t="shared" si="114"/>
        <v>5999</v>
      </c>
      <c r="G107" s="2">
        <f t="shared" si="115"/>
        <v>6031</v>
      </c>
      <c r="H107" s="2">
        <f t="shared" si="116"/>
        <v>6063.4000000000015</v>
      </c>
      <c r="I107" s="2">
        <f t="shared" si="117"/>
        <v>6095.4000000000015</v>
      </c>
      <c r="J107" s="2">
        <f t="shared" si="118"/>
        <v>6087.2000000000007</v>
      </c>
      <c r="K107" s="2">
        <f t="shared" si="119"/>
        <v>6159.2000000000007</v>
      </c>
      <c r="L107" s="2">
        <f t="shared" si="120"/>
        <v>6191.5999999999985</v>
      </c>
    </row>
    <row r="108" spans="1:12" x14ac:dyDescent="0.25">
      <c r="A108" s="5">
        <v>1050</v>
      </c>
      <c r="B108" s="2">
        <f t="shared" si="110"/>
        <v>5958.5000000000018</v>
      </c>
      <c r="C108" s="2">
        <f t="shared" si="111"/>
        <v>5990.5000000000018</v>
      </c>
      <c r="D108" s="2">
        <f t="shared" si="112"/>
        <v>6022.5000000000009</v>
      </c>
      <c r="E108" s="2">
        <f t="shared" si="113"/>
        <v>6054.5000000000009</v>
      </c>
      <c r="F108" s="2">
        <f t="shared" si="114"/>
        <v>6086.5</v>
      </c>
      <c r="G108" s="2">
        <f t="shared" si="115"/>
        <v>6118.5</v>
      </c>
      <c r="H108" s="2">
        <f t="shared" si="116"/>
        <v>6151.0000000000018</v>
      </c>
      <c r="I108" s="2">
        <f t="shared" si="117"/>
        <v>6183.0000000000018</v>
      </c>
      <c r="J108" s="2">
        <f t="shared" si="118"/>
        <v>6165.0000000000009</v>
      </c>
      <c r="K108" s="2">
        <f t="shared" si="119"/>
        <v>6247.0000000000009</v>
      </c>
      <c r="L108" s="2">
        <f t="shared" si="120"/>
        <v>6279.4999999999982</v>
      </c>
    </row>
    <row r="109" spans="1:12" x14ac:dyDescent="0.25">
      <c r="A109" s="5">
        <v>1060</v>
      </c>
      <c r="B109" s="2">
        <f t="shared" si="110"/>
        <v>6045.6000000000022</v>
      </c>
      <c r="C109" s="2">
        <f t="shared" si="111"/>
        <v>6077.6000000000022</v>
      </c>
      <c r="D109" s="2">
        <f t="shared" si="112"/>
        <v>6109.8000000000011</v>
      </c>
      <c r="E109" s="2">
        <f t="shared" si="113"/>
        <v>6141.8000000000011</v>
      </c>
      <c r="F109" s="2">
        <f t="shared" si="114"/>
        <v>6174</v>
      </c>
      <c r="G109" s="2">
        <f t="shared" si="115"/>
        <v>6206</v>
      </c>
      <c r="H109" s="2">
        <f t="shared" si="116"/>
        <v>6238.6000000000022</v>
      </c>
      <c r="I109" s="2">
        <f t="shared" si="117"/>
        <v>6270.6000000000022</v>
      </c>
      <c r="J109" s="2">
        <f t="shared" si="118"/>
        <v>6242.8000000000011</v>
      </c>
      <c r="K109" s="2">
        <f t="shared" si="119"/>
        <v>6334.8000000000011</v>
      </c>
      <c r="L109" s="2">
        <f t="shared" si="120"/>
        <v>6367.3999999999978</v>
      </c>
    </row>
    <row r="110" spans="1:12" x14ac:dyDescent="0.25">
      <c r="A110" s="5">
        <v>1070</v>
      </c>
      <c r="B110" s="2">
        <f t="shared" si="110"/>
        <v>6132.7000000000025</v>
      </c>
      <c r="C110" s="2">
        <f t="shared" si="111"/>
        <v>6164.7000000000025</v>
      </c>
      <c r="D110" s="2">
        <f t="shared" si="112"/>
        <v>6197.1000000000013</v>
      </c>
      <c r="E110" s="2">
        <f t="shared" si="113"/>
        <v>6229.1000000000013</v>
      </c>
      <c r="F110" s="2">
        <f t="shared" si="114"/>
        <v>6261.5</v>
      </c>
      <c r="G110" s="2">
        <f t="shared" si="115"/>
        <v>6293.5</v>
      </c>
      <c r="H110" s="2">
        <f t="shared" si="116"/>
        <v>6326.2000000000025</v>
      </c>
      <c r="I110" s="2">
        <f t="shared" si="117"/>
        <v>6358.2000000000025</v>
      </c>
      <c r="J110" s="2">
        <f t="shared" si="118"/>
        <v>6320.6000000000013</v>
      </c>
      <c r="K110" s="2">
        <f t="shared" si="119"/>
        <v>6422.6000000000013</v>
      </c>
      <c r="L110" s="2">
        <f t="shared" si="120"/>
        <v>6455.2999999999975</v>
      </c>
    </row>
    <row r="111" spans="1:12" x14ac:dyDescent="0.25">
      <c r="A111" s="5">
        <v>1080</v>
      </c>
      <c r="B111" s="2">
        <f t="shared" si="110"/>
        <v>6219.8000000000029</v>
      </c>
      <c r="C111" s="2">
        <f t="shared" si="111"/>
        <v>6251.8000000000029</v>
      </c>
      <c r="D111" s="2">
        <f t="shared" si="112"/>
        <v>6284.4000000000015</v>
      </c>
      <c r="E111" s="2">
        <f t="shared" si="113"/>
        <v>6316.4000000000015</v>
      </c>
      <c r="F111" s="2">
        <f t="shared" si="114"/>
        <v>6349</v>
      </c>
      <c r="G111" s="2">
        <f t="shared" si="115"/>
        <v>6381</v>
      </c>
      <c r="H111" s="2">
        <f t="shared" si="116"/>
        <v>6413.8000000000029</v>
      </c>
      <c r="I111" s="2">
        <f t="shared" si="117"/>
        <v>6445.8000000000029</v>
      </c>
      <c r="J111" s="2">
        <f t="shared" si="118"/>
        <v>6398.4000000000015</v>
      </c>
      <c r="K111" s="2">
        <f t="shared" si="119"/>
        <v>6510.4000000000015</v>
      </c>
      <c r="L111" s="2">
        <f t="shared" si="120"/>
        <v>6543.1999999999971</v>
      </c>
    </row>
    <row r="112" spans="1:12" x14ac:dyDescent="0.25">
      <c r="A112" s="5">
        <v>1090</v>
      </c>
      <c r="B112" s="2">
        <f t="shared" si="110"/>
        <v>6306.9000000000033</v>
      </c>
      <c r="C112" s="2">
        <f t="shared" si="111"/>
        <v>6338.9000000000033</v>
      </c>
      <c r="D112" s="2">
        <f t="shared" si="112"/>
        <v>6371.7000000000016</v>
      </c>
      <c r="E112" s="2">
        <f t="shared" si="113"/>
        <v>6403.7000000000016</v>
      </c>
      <c r="F112" s="2">
        <f t="shared" si="114"/>
        <v>6436.5</v>
      </c>
      <c r="G112" s="2">
        <f t="shared" si="115"/>
        <v>6468.5</v>
      </c>
      <c r="H112" s="2">
        <f t="shared" si="116"/>
        <v>6501.4000000000033</v>
      </c>
      <c r="I112" s="2">
        <f t="shared" si="117"/>
        <v>6533.4000000000033</v>
      </c>
      <c r="J112" s="2">
        <f t="shared" si="118"/>
        <v>6476.2000000000016</v>
      </c>
      <c r="K112" s="2">
        <f t="shared" si="119"/>
        <v>6598.2000000000016</v>
      </c>
      <c r="L112" s="2">
        <f t="shared" si="120"/>
        <v>6631.0999999999967</v>
      </c>
    </row>
    <row r="113" spans="1:12" x14ac:dyDescent="0.25">
      <c r="A113" s="5">
        <v>1100</v>
      </c>
      <c r="B113" s="4">
        <v>6394</v>
      </c>
      <c r="C113" s="4">
        <v>6426</v>
      </c>
      <c r="D113" s="4">
        <v>6459</v>
      </c>
      <c r="E113" s="4">
        <v>6491</v>
      </c>
      <c r="F113" s="4">
        <v>6524</v>
      </c>
      <c r="G113" s="4">
        <v>6556</v>
      </c>
      <c r="H113" s="4">
        <v>6589</v>
      </c>
      <c r="I113" s="4">
        <v>6621</v>
      </c>
      <c r="J113" s="4">
        <v>6554</v>
      </c>
      <c r="K113" s="4">
        <v>6686</v>
      </c>
      <c r="L113" s="4">
        <v>6719</v>
      </c>
    </row>
    <row r="114" spans="1:12" x14ac:dyDescent="0.25">
      <c r="A114" s="5">
        <v>1110</v>
      </c>
      <c r="B114" s="2">
        <f t="shared" ref="B114:B122" si="121">((B$123-B$113)/10+B113)</f>
        <v>6482.6</v>
      </c>
      <c r="C114" s="2">
        <f t="shared" ref="C114:C122" si="122">((C$123-C$113)/10+C113)</f>
        <v>6514.7</v>
      </c>
      <c r="D114" s="2">
        <f t="shared" ref="D114:D122" si="123">((D$123-D$113)/10+D113)</f>
        <v>6547.7</v>
      </c>
      <c r="E114" s="2">
        <f t="shared" ref="E114:E122" si="124">((E$123-E$113)/10+E113)</f>
        <v>6579.8</v>
      </c>
      <c r="F114" s="2">
        <f t="shared" ref="F114:F122" si="125">((F$123-F$113)/10+F113)</f>
        <v>6612.8</v>
      </c>
      <c r="G114" s="2">
        <f t="shared" ref="G114:G122" si="126">((G$123-G$113)/10+G113)</f>
        <v>6644.9</v>
      </c>
      <c r="H114" s="2">
        <f t="shared" ref="H114:H122" si="127">((H$123-H$113)/10+H113)</f>
        <v>6677.9</v>
      </c>
      <c r="I114" s="2">
        <f t="shared" ref="I114:I122" si="128">((I$123-I$113)/10+I113)</f>
        <v>6710</v>
      </c>
      <c r="J114" s="2">
        <f t="shared" ref="J114:J122" si="129">((J$123-J$113)/10+J113)</f>
        <v>6653</v>
      </c>
      <c r="K114" s="2">
        <f t="shared" ref="K114:K122" si="130">((K$123-K$113)/10+K113)</f>
        <v>6775.2</v>
      </c>
      <c r="L114" s="2">
        <f t="shared" ref="L114:L122" si="131">((L$123-L$113)/10+L113)</f>
        <v>6808.2</v>
      </c>
    </row>
    <row r="115" spans="1:12" x14ac:dyDescent="0.25">
      <c r="A115" s="5">
        <v>1120</v>
      </c>
      <c r="B115" s="2">
        <f t="shared" si="121"/>
        <v>6571.2000000000007</v>
      </c>
      <c r="C115" s="2">
        <f t="shared" si="122"/>
        <v>6603.4</v>
      </c>
      <c r="D115" s="2">
        <f t="shared" si="123"/>
        <v>6636.4</v>
      </c>
      <c r="E115" s="2">
        <f t="shared" si="124"/>
        <v>6668.6</v>
      </c>
      <c r="F115" s="2">
        <f t="shared" si="125"/>
        <v>6701.6</v>
      </c>
      <c r="G115" s="2">
        <f t="shared" si="126"/>
        <v>6733.7999999999993</v>
      </c>
      <c r="H115" s="2">
        <f t="shared" si="127"/>
        <v>6766.7999999999993</v>
      </c>
      <c r="I115" s="2">
        <f t="shared" si="128"/>
        <v>6799</v>
      </c>
      <c r="J115" s="2">
        <f t="shared" si="129"/>
        <v>6752</v>
      </c>
      <c r="K115" s="2">
        <f t="shared" si="130"/>
        <v>6864.4</v>
      </c>
      <c r="L115" s="2">
        <f t="shared" si="131"/>
        <v>6897.4</v>
      </c>
    </row>
    <row r="116" spans="1:12" x14ac:dyDescent="0.25">
      <c r="A116" s="5">
        <v>1130</v>
      </c>
      <c r="B116" s="2">
        <f t="shared" si="121"/>
        <v>6659.8000000000011</v>
      </c>
      <c r="C116" s="2">
        <f t="shared" si="122"/>
        <v>6692.0999999999995</v>
      </c>
      <c r="D116" s="2">
        <f t="shared" si="123"/>
        <v>6725.0999999999995</v>
      </c>
      <c r="E116" s="2">
        <f t="shared" si="124"/>
        <v>6757.4000000000005</v>
      </c>
      <c r="F116" s="2">
        <f t="shared" si="125"/>
        <v>6790.4000000000005</v>
      </c>
      <c r="G116" s="2">
        <f t="shared" si="126"/>
        <v>6822.6999999999989</v>
      </c>
      <c r="H116" s="2">
        <f t="shared" si="127"/>
        <v>6855.6999999999989</v>
      </c>
      <c r="I116" s="2">
        <f t="shared" si="128"/>
        <v>6888</v>
      </c>
      <c r="J116" s="2">
        <f t="shared" si="129"/>
        <v>6851</v>
      </c>
      <c r="K116" s="2">
        <f t="shared" si="130"/>
        <v>6953.5999999999995</v>
      </c>
      <c r="L116" s="2">
        <f t="shared" si="131"/>
        <v>6986.5999999999995</v>
      </c>
    </row>
    <row r="117" spans="1:12" x14ac:dyDescent="0.25">
      <c r="A117" s="5">
        <v>1140</v>
      </c>
      <c r="B117" s="2">
        <f t="shared" si="121"/>
        <v>6748.4000000000015</v>
      </c>
      <c r="C117" s="2">
        <f t="shared" si="122"/>
        <v>6780.7999999999993</v>
      </c>
      <c r="D117" s="2">
        <f t="shared" si="123"/>
        <v>6813.7999999999993</v>
      </c>
      <c r="E117" s="2">
        <f t="shared" si="124"/>
        <v>6846.2000000000007</v>
      </c>
      <c r="F117" s="2">
        <f t="shared" si="125"/>
        <v>6879.2000000000007</v>
      </c>
      <c r="G117" s="2">
        <f t="shared" si="126"/>
        <v>6911.5999999999985</v>
      </c>
      <c r="H117" s="2">
        <f t="shared" si="127"/>
        <v>6944.5999999999985</v>
      </c>
      <c r="I117" s="2">
        <f t="shared" si="128"/>
        <v>6977</v>
      </c>
      <c r="J117" s="2">
        <f t="shared" si="129"/>
        <v>6950</v>
      </c>
      <c r="K117" s="2">
        <f t="shared" si="130"/>
        <v>7042.7999999999993</v>
      </c>
      <c r="L117" s="2">
        <f t="shared" si="131"/>
        <v>7075.7999999999993</v>
      </c>
    </row>
    <row r="118" spans="1:12" x14ac:dyDescent="0.25">
      <c r="A118" s="5">
        <v>1150</v>
      </c>
      <c r="B118" s="2">
        <f t="shared" si="121"/>
        <v>6837.0000000000018</v>
      </c>
      <c r="C118" s="2">
        <f t="shared" si="122"/>
        <v>6869.4999999999991</v>
      </c>
      <c r="D118" s="2">
        <f t="shared" si="123"/>
        <v>6902.4999999999991</v>
      </c>
      <c r="E118" s="2">
        <f t="shared" si="124"/>
        <v>6935.0000000000009</v>
      </c>
      <c r="F118" s="2">
        <f t="shared" si="125"/>
        <v>6968.0000000000009</v>
      </c>
      <c r="G118" s="2">
        <f t="shared" si="126"/>
        <v>7000.4999999999982</v>
      </c>
      <c r="H118" s="2">
        <f t="shared" si="127"/>
        <v>7033.4999999999982</v>
      </c>
      <c r="I118" s="2">
        <f t="shared" si="128"/>
        <v>7066</v>
      </c>
      <c r="J118" s="2">
        <f t="shared" si="129"/>
        <v>7049</v>
      </c>
      <c r="K118" s="2">
        <f t="shared" si="130"/>
        <v>7131.9999999999991</v>
      </c>
      <c r="L118" s="2">
        <f t="shared" si="131"/>
        <v>7164.9999999999991</v>
      </c>
    </row>
    <row r="119" spans="1:12" x14ac:dyDescent="0.25">
      <c r="A119" s="5">
        <v>1160</v>
      </c>
      <c r="B119" s="2">
        <f t="shared" si="121"/>
        <v>6925.6000000000022</v>
      </c>
      <c r="C119" s="2">
        <f t="shared" si="122"/>
        <v>6958.1999999999989</v>
      </c>
      <c r="D119" s="2">
        <f t="shared" si="123"/>
        <v>6991.1999999999989</v>
      </c>
      <c r="E119" s="2">
        <f t="shared" si="124"/>
        <v>7023.8000000000011</v>
      </c>
      <c r="F119" s="2">
        <f t="shared" si="125"/>
        <v>7056.8000000000011</v>
      </c>
      <c r="G119" s="2">
        <f t="shared" si="126"/>
        <v>7089.3999999999978</v>
      </c>
      <c r="H119" s="2">
        <f t="shared" si="127"/>
        <v>7122.3999999999978</v>
      </c>
      <c r="I119" s="2">
        <f t="shared" si="128"/>
        <v>7155</v>
      </c>
      <c r="J119" s="2">
        <f t="shared" si="129"/>
        <v>7148</v>
      </c>
      <c r="K119" s="2">
        <f t="shared" si="130"/>
        <v>7221.1999999999989</v>
      </c>
      <c r="L119" s="2">
        <f t="shared" si="131"/>
        <v>7254.1999999999989</v>
      </c>
    </row>
    <row r="120" spans="1:12" x14ac:dyDescent="0.25">
      <c r="A120" s="5">
        <v>1170</v>
      </c>
      <c r="B120" s="2">
        <f t="shared" si="121"/>
        <v>7014.2000000000025</v>
      </c>
      <c r="C120" s="2">
        <f t="shared" si="122"/>
        <v>7046.8999999999987</v>
      </c>
      <c r="D120" s="2">
        <f t="shared" si="123"/>
        <v>7079.8999999999987</v>
      </c>
      <c r="E120" s="2">
        <f t="shared" si="124"/>
        <v>7112.6000000000013</v>
      </c>
      <c r="F120" s="2">
        <f t="shared" si="125"/>
        <v>7145.6000000000013</v>
      </c>
      <c r="G120" s="2">
        <f t="shared" si="126"/>
        <v>7178.2999999999975</v>
      </c>
      <c r="H120" s="2">
        <f t="shared" si="127"/>
        <v>7211.2999999999975</v>
      </c>
      <c r="I120" s="2">
        <f t="shared" si="128"/>
        <v>7244</v>
      </c>
      <c r="J120" s="2">
        <f t="shared" si="129"/>
        <v>7247</v>
      </c>
      <c r="K120" s="2">
        <f t="shared" si="130"/>
        <v>7310.3999999999987</v>
      </c>
      <c r="L120" s="2">
        <f t="shared" si="131"/>
        <v>7343.3999999999987</v>
      </c>
    </row>
    <row r="121" spans="1:12" x14ac:dyDescent="0.25">
      <c r="A121" s="5">
        <v>1180</v>
      </c>
      <c r="B121" s="2">
        <f t="shared" si="121"/>
        <v>7102.8000000000029</v>
      </c>
      <c r="C121" s="2">
        <f t="shared" si="122"/>
        <v>7135.5999999999985</v>
      </c>
      <c r="D121" s="2">
        <f t="shared" si="123"/>
        <v>7168.5999999999985</v>
      </c>
      <c r="E121" s="2">
        <f t="shared" si="124"/>
        <v>7201.4000000000015</v>
      </c>
      <c r="F121" s="2">
        <f t="shared" si="125"/>
        <v>7234.4000000000015</v>
      </c>
      <c r="G121" s="2">
        <f t="shared" si="126"/>
        <v>7267.1999999999971</v>
      </c>
      <c r="H121" s="2">
        <f t="shared" si="127"/>
        <v>7300.1999999999971</v>
      </c>
      <c r="I121" s="2">
        <f t="shared" si="128"/>
        <v>7333</v>
      </c>
      <c r="J121" s="2">
        <f t="shared" si="129"/>
        <v>7346</v>
      </c>
      <c r="K121" s="2">
        <f t="shared" si="130"/>
        <v>7399.5999999999985</v>
      </c>
      <c r="L121" s="2">
        <f t="shared" si="131"/>
        <v>7432.5999999999985</v>
      </c>
    </row>
    <row r="122" spans="1:12" x14ac:dyDescent="0.25">
      <c r="A122" s="5">
        <v>1190</v>
      </c>
      <c r="B122" s="2">
        <f t="shared" si="121"/>
        <v>7191.4000000000033</v>
      </c>
      <c r="C122" s="2">
        <f t="shared" si="122"/>
        <v>7224.2999999999984</v>
      </c>
      <c r="D122" s="2">
        <f t="shared" si="123"/>
        <v>7257.2999999999984</v>
      </c>
      <c r="E122" s="2">
        <f t="shared" si="124"/>
        <v>7290.2000000000016</v>
      </c>
      <c r="F122" s="2">
        <f t="shared" si="125"/>
        <v>7323.2000000000016</v>
      </c>
      <c r="G122" s="2">
        <f t="shared" si="126"/>
        <v>7356.0999999999967</v>
      </c>
      <c r="H122" s="2">
        <f t="shared" si="127"/>
        <v>7389.0999999999967</v>
      </c>
      <c r="I122" s="2">
        <f t="shared" si="128"/>
        <v>7422</v>
      </c>
      <c r="J122" s="2">
        <f t="shared" si="129"/>
        <v>7445</v>
      </c>
      <c r="K122" s="2">
        <f t="shared" si="130"/>
        <v>7488.7999999999984</v>
      </c>
      <c r="L122" s="2">
        <f t="shared" si="131"/>
        <v>7521.7999999999984</v>
      </c>
    </row>
    <row r="123" spans="1:12" x14ac:dyDescent="0.25">
      <c r="A123" s="5">
        <v>1200</v>
      </c>
      <c r="B123" s="4">
        <v>7280</v>
      </c>
      <c r="C123" s="4">
        <v>7313</v>
      </c>
      <c r="D123" s="4">
        <v>7346</v>
      </c>
      <c r="E123" s="4">
        <v>7379</v>
      </c>
      <c r="F123" s="4">
        <v>7412</v>
      </c>
      <c r="G123" s="4">
        <v>7445</v>
      </c>
      <c r="H123" s="4">
        <v>7478</v>
      </c>
      <c r="I123" s="4">
        <v>7511</v>
      </c>
      <c r="J123" s="4">
        <v>7544</v>
      </c>
      <c r="K123" s="4">
        <v>7578</v>
      </c>
      <c r="L123" s="4">
        <v>7611</v>
      </c>
    </row>
    <row r="124" spans="1:12" x14ac:dyDescent="0.25">
      <c r="A124" s="5">
        <v>1210</v>
      </c>
      <c r="B124" s="2">
        <f t="shared" ref="B124:B132" si="132">((B$133 -B$123)/10+B123)</f>
        <v>7383.4</v>
      </c>
      <c r="C124" s="2">
        <f t="shared" ref="C124:C132" si="133">((C$133 -C$123)/10+C123)</f>
        <v>7413.1</v>
      </c>
      <c r="D124" s="2">
        <f t="shared" ref="D124:D132" si="134">((D$133 -D$123)/10+D123)</f>
        <v>7442.8</v>
      </c>
      <c r="E124" s="2">
        <f t="shared" ref="E124:E132" si="135">((E$133 -E$123)/10+E123)</f>
        <v>7472.5</v>
      </c>
      <c r="F124" s="2">
        <f t="shared" ref="F124:F132" si="136">((F$133 -F$123)/10+F123)</f>
        <v>7502.2</v>
      </c>
      <c r="G124" s="2">
        <f t="shared" ref="G124:G132" si="137">((G$133 -G$123)/10+G123)</f>
        <v>7531.9</v>
      </c>
      <c r="H124" s="2">
        <f t="shared" ref="H124:H132" si="138">((H$133 -H$123)/10+H123)</f>
        <v>7561.6</v>
      </c>
      <c r="I124" s="2">
        <f t="shared" ref="I124:I132" si="139">((I$133 -I$123)/10+I123)</f>
        <v>7591.3</v>
      </c>
      <c r="J124" s="2">
        <f t="shared" ref="J124:J132" si="140">((J$133 -J$123)/10+J123)</f>
        <v>7621</v>
      </c>
      <c r="K124" s="2">
        <f t="shared" ref="K124:K132" si="141">((K$133 -K$123)/10+K123)</f>
        <v>7651.6</v>
      </c>
      <c r="L124" s="2">
        <f t="shared" ref="L124:L132" si="142">((L$133 -L$123)/10+L123)</f>
        <v>7681.3</v>
      </c>
    </row>
    <row r="125" spans="1:12" x14ac:dyDescent="0.25">
      <c r="A125" s="5">
        <v>1220</v>
      </c>
      <c r="B125" s="2">
        <f t="shared" si="132"/>
        <v>7486.7999999999993</v>
      </c>
      <c r="C125" s="2">
        <f t="shared" si="133"/>
        <v>7513.2000000000007</v>
      </c>
      <c r="D125" s="2">
        <f t="shared" si="134"/>
        <v>7539.6</v>
      </c>
      <c r="E125" s="2">
        <f t="shared" si="135"/>
        <v>7566</v>
      </c>
      <c r="F125" s="2">
        <f t="shared" si="136"/>
        <v>7592.4</v>
      </c>
      <c r="G125" s="2">
        <f t="shared" si="137"/>
        <v>7618.7999999999993</v>
      </c>
      <c r="H125" s="2">
        <f t="shared" si="138"/>
        <v>7645.2000000000007</v>
      </c>
      <c r="I125" s="2">
        <f t="shared" si="139"/>
        <v>7671.6</v>
      </c>
      <c r="J125" s="2">
        <f t="shared" si="140"/>
        <v>7698</v>
      </c>
      <c r="K125" s="2">
        <f t="shared" si="141"/>
        <v>7725.2000000000007</v>
      </c>
      <c r="L125" s="2">
        <f t="shared" si="142"/>
        <v>7751.6</v>
      </c>
    </row>
    <row r="126" spans="1:12" x14ac:dyDescent="0.25">
      <c r="A126" s="5">
        <v>1230</v>
      </c>
      <c r="B126" s="2">
        <f t="shared" si="132"/>
        <v>7590.1999999999989</v>
      </c>
      <c r="C126" s="2">
        <f t="shared" si="133"/>
        <v>7613.3000000000011</v>
      </c>
      <c r="D126" s="2">
        <f t="shared" si="134"/>
        <v>7636.4000000000005</v>
      </c>
      <c r="E126" s="2">
        <f t="shared" si="135"/>
        <v>7659.5</v>
      </c>
      <c r="F126" s="2">
        <f t="shared" si="136"/>
        <v>7682.5999999999995</v>
      </c>
      <c r="G126" s="2">
        <f t="shared" si="137"/>
        <v>7705.6999999999989</v>
      </c>
      <c r="H126" s="2">
        <f t="shared" si="138"/>
        <v>7728.8000000000011</v>
      </c>
      <c r="I126" s="2">
        <f t="shared" si="139"/>
        <v>7751.9000000000005</v>
      </c>
      <c r="J126" s="2">
        <f t="shared" si="140"/>
        <v>7775</v>
      </c>
      <c r="K126" s="2">
        <f t="shared" si="141"/>
        <v>7798.8000000000011</v>
      </c>
      <c r="L126" s="2">
        <f t="shared" si="142"/>
        <v>7821.9000000000005</v>
      </c>
    </row>
    <row r="127" spans="1:12" x14ac:dyDescent="0.25">
      <c r="A127" s="5">
        <v>1240</v>
      </c>
      <c r="B127" s="2">
        <f t="shared" si="132"/>
        <v>7693.5999999999985</v>
      </c>
      <c r="C127" s="2">
        <f t="shared" si="133"/>
        <v>7713.4000000000015</v>
      </c>
      <c r="D127" s="2">
        <f t="shared" si="134"/>
        <v>7733.2000000000007</v>
      </c>
      <c r="E127" s="2">
        <f t="shared" si="135"/>
        <v>7753</v>
      </c>
      <c r="F127" s="2">
        <f t="shared" si="136"/>
        <v>7772.7999999999993</v>
      </c>
      <c r="G127" s="2">
        <f t="shared" si="137"/>
        <v>7792.5999999999985</v>
      </c>
      <c r="H127" s="2">
        <f t="shared" si="138"/>
        <v>7812.4000000000015</v>
      </c>
      <c r="I127" s="2">
        <f t="shared" si="139"/>
        <v>7832.2000000000007</v>
      </c>
      <c r="J127" s="2">
        <f t="shared" si="140"/>
        <v>7852</v>
      </c>
      <c r="K127" s="2">
        <f t="shared" si="141"/>
        <v>7872.4000000000015</v>
      </c>
      <c r="L127" s="2">
        <f t="shared" si="142"/>
        <v>7892.2000000000007</v>
      </c>
    </row>
    <row r="128" spans="1:12" x14ac:dyDescent="0.25">
      <c r="A128" s="5">
        <v>1250</v>
      </c>
      <c r="B128" s="2">
        <f t="shared" si="132"/>
        <v>7796.9999999999982</v>
      </c>
      <c r="C128" s="2">
        <f t="shared" si="133"/>
        <v>7813.5000000000018</v>
      </c>
      <c r="D128" s="2">
        <f t="shared" si="134"/>
        <v>7830.0000000000009</v>
      </c>
      <c r="E128" s="2">
        <f t="shared" si="135"/>
        <v>7846.5</v>
      </c>
      <c r="F128" s="2">
        <f t="shared" si="136"/>
        <v>7862.9999999999991</v>
      </c>
      <c r="G128" s="2">
        <f t="shared" si="137"/>
        <v>7879.4999999999982</v>
      </c>
      <c r="H128" s="2">
        <f t="shared" si="138"/>
        <v>7896.0000000000018</v>
      </c>
      <c r="I128" s="2">
        <f t="shared" si="139"/>
        <v>7912.5000000000009</v>
      </c>
      <c r="J128" s="2">
        <f t="shared" si="140"/>
        <v>7929</v>
      </c>
      <c r="K128" s="2">
        <f t="shared" si="141"/>
        <v>7946.0000000000018</v>
      </c>
      <c r="L128" s="2">
        <f t="shared" si="142"/>
        <v>7962.5000000000009</v>
      </c>
    </row>
    <row r="129" spans="1:12" x14ac:dyDescent="0.25">
      <c r="A129" s="5">
        <v>1260</v>
      </c>
      <c r="B129" s="2">
        <f t="shared" si="132"/>
        <v>7900.3999999999978</v>
      </c>
      <c r="C129" s="2">
        <f t="shared" si="133"/>
        <v>7913.6000000000022</v>
      </c>
      <c r="D129" s="2">
        <f t="shared" si="134"/>
        <v>7926.8000000000011</v>
      </c>
      <c r="E129" s="2">
        <f t="shared" si="135"/>
        <v>7940</v>
      </c>
      <c r="F129" s="2">
        <f t="shared" si="136"/>
        <v>7953.1999999999989</v>
      </c>
      <c r="G129" s="2">
        <f t="shared" si="137"/>
        <v>7966.3999999999978</v>
      </c>
      <c r="H129" s="2">
        <f t="shared" si="138"/>
        <v>7979.6000000000022</v>
      </c>
      <c r="I129" s="2">
        <f t="shared" si="139"/>
        <v>7992.8000000000011</v>
      </c>
      <c r="J129" s="2">
        <f t="shared" si="140"/>
        <v>8006</v>
      </c>
      <c r="K129" s="2">
        <f t="shared" si="141"/>
        <v>8019.6000000000022</v>
      </c>
      <c r="L129" s="2">
        <f t="shared" si="142"/>
        <v>8032.8000000000011</v>
      </c>
    </row>
    <row r="130" spans="1:12" x14ac:dyDescent="0.25">
      <c r="A130" s="5">
        <v>1270</v>
      </c>
      <c r="B130" s="2">
        <f t="shared" si="132"/>
        <v>8003.7999999999975</v>
      </c>
      <c r="C130" s="2">
        <f t="shared" si="133"/>
        <v>8013.7000000000025</v>
      </c>
      <c r="D130" s="2">
        <f t="shared" si="134"/>
        <v>8023.6000000000013</v>
      </c>
      <c r="E130" s="2">
        <f t="shared" si="135"/>
        <v>8033.5</v>
      </c>
      <c r="F130" s="2">
        <f t="shared" si="136"/>
        <v>8043.3999999999987</v>
      </c>
      <c r="G130" s="2">
        <f t="shared" si="137"/>
        <v>8053.2999999999975</v>
      </c>
      <c r="H130" s="2">
        <f t="shared" si="138"/>
        <v>8063.2000000000025</v>
      </c>
      <c r="I130" s="2">
        <f t="shared" si="139"/>
        <v>8073.1000000000013</v>
      </c>
      <c r="J130" s="2">
        <f t="shared" si="140"/>
        <v>8083</v>
      </c>
      <c r="K130" s="2">
        <f t="shared" si="141"/>
        <v>8093.2000000000025</v>
      </c>
      <c r="L130" s="2">
        <f t="shared" si="142"/>
        <v>8103.1000000000013</v>
      </c>
    </row>
    <row r="131" spans="1:12" x14ac:dyDescent="0.25">
      <c r="A131" s="5">
        <v>1280</v>
      </c>
      <c r="B131" s="2">
        <f t="shared" si="132"/>
        <v>8107.1999999999971</v>
      </c>
      <c r="C131" s="2">
        <f t="shared" si="133"/>
        <v>8113.8000000000029</v>
      </c>
      <c r="D131" s="2">
        <f t="shared" si="134"/>
        <v>8120.4000000000015</v>
      </c>
      <c r="E131" s="2">
        <f t="shared" si="135"/>
        <v>8127</v>
      </c>
      <c r="F131" s="2">
        <f t="shared" si="136"/>
        <v>8133.5999999999985</v>
      </c>
      <c r="G131" s="2">
        <f t="shared" si="137"/>
        <v>8140.1999999999971</v>
      </c>
      <c r="H131" s="2">
        <f t="shared" si="138"/>
        <v>8146.8000000000029</v>
      </c>
      <c r="I131" s="2">
        <f t="shared" si="139"/>
        <v>8153.4000000000015</v>
      </c>
      <c r="J131" s="2">
        <f t="shared" si="140"/>
        <v>8160</v>
      </c>
      <c r="K131" s="2">
        <f t="shared" si="141"/>
        <v>8166.8000000000029</v>
      </c>
      <c r="L131" s="2">
        <f t="shared" si="142"/>
        <v>8173.4000000000015</v>
      </c>
    </row>
    <row r="132" spans="1:12" x14ac:dyDescent="0.25">
      <c r="A132" s="5">
        <v>1290</v>
      </c>
      <c r="B132" s="2">
        <f t="shared" si="132"/>
        <v>8210.5999999999967</v>
      </c>
      <c r="C132" s="2">
        <f t="shared" si="133"/>
        <v>8213.9000000000033</v>
      </c>
      <c r="D132" s="2">
        <f t="shared" si="134"/>
        <v>8217.2000000000007</v>
      </c>
      <c r="E132" s="2">
        <f t="shared" si="135"/>
        <v>8220.5</v>
      </c>
      <c r="F132" s="2">
        <f t="shared" si="136"/>
        <v>8223.7999999999993</v>
      </c>
      <c r="G132" s="2">
        <f t="shared" si="137"/>
        <v>8227.0999999999967</v>
      </c>
      <c r="H132" s="2">
        <f t="shared" si="138"/>
        <v>8230.4000000000033</v>
      </c>
      <c r="I132" s="2">
        <f t="shared" si="139"/>
        <v>8233.7000000000007</v>
      </c>
      <c r="J132" s="2">
        <f t="shared" si="140"/>
        <v>8237</v>
      </c>
      <c r="K132" s="2">
        <f t="shared" si="141"/>
        <v>8240.4000000000033</v>
      </c>
      <c r="L132" s="2">
        <f t="shared" si="142"/>
        <v>8243.7000000000007</v>
      </c>
    </row>
    <row r="133" spans="1:12" x14ac:dyDescent="0.25">
      <c r="A133" s="5">
        <v>1300</v>
      </c>
      <c r="B133" s="4">
        <v>8314</v>
      </c>
      <c r="C133" s="4">
        <v>8314</v>
      </c>
      <c r="D133" s="4">
        <v>8314</v>
      </c>
      <c r="E133" s="4">
        <v>8314</v>
      </c>
      <c r="F133" s="4">
        <v>8314</v>
      </c>
      <c r="G133" s="4">
        <v>8314</v>
      </c>
      <c r="H133" s="4">
        <v>8314</v>
      </c>
      <c r="I133" s="4">
        <v>8314</v>
      </c>
      <c r="J133" s="4">
        <v>8314</v>
      </c>
      <c r="K133" s="4">
        <v>8314</v>
      </c>
      <c r="L133" s="4">
        <v>8314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7E78-CB2F-4799-A646-54A2BF4F91A0}">
  <sheetPr codeName="Planilha4"/>
  <dimension ref="A1:P1519"/>
  <sheetViews>
    <sheetView workbookViewId="0">
      <selection sqref="A1:B202"/>
    </sheetView>
  </sheetViews>
  <sheetFormatPr defaultRowHeight="15" x14ac:dyDescent="0.25"/>
  <sheetData>
    <row r="1" spans="1:16" x14ac:dyDescent="0.25">
      <c r="A1" s="6" t="s">
        <v>10</v>
      </c>
      <c r="B1" s="7" t="s">
        <v>17</v>
      </c>
      <c r="M1" s="8"/>
      <c r="N1" s="8"/>
      <c r="O1" s="8"/>
      <c r="P1" s="8"/>
    </row>
    <row r="2" spans="1:16" x14ac:dyDescent="0.25">
      <c r="A2" s="5">
        <v>0</v>
      </c>
      <c r="B2" s="4">
        <v>188</v>
      </c>
      <c r="M2" s="3"/>
      <c r="N2" s="3"/>
      <c r="O2" s="3"/>
      <c r="P2" s="3"/>
    </row>
    <row r="3" spans="1:16" x14ac:dyDescent="0.25">
      <c r="A3" s="5">
        <v>10</v>
      </c>
      <c r="B3" s="2">
        <f t="shared" ref="B3:B11" si="0">((B$12-B$2)/10)+B2</f>
        <v>225.7</v>
      </c>
      <c r="M3" s="3"/>
      <c r="N3" s="3"/>
      <c r="O3" s="3"/>
      <c r="P3" s="3"/>
    </row>
    <row r="4" spans="1:16" x14ac:dyDescent="0.25">
      <c r="A4" s="5">
        <v>20</v>
      </c>
      <c r="B4" s="2">
        <f t="shared" si="0"/>
        <v>263.39999999999998</v>
      </c>
      <c r="M4" s="3"/>
      <c r="N4" s="3"/>
      <c r="O4" s="3"/>
      <c r="P4" s="3"/>
    </row>
    <row r="5" spans="1:16" x14ac:dyDescent="0.25">
      <c r="A5" s="5">
        <v>30</v>
      </c>
      <c r="B5" s="2">
        <f t="shared" si="0"/>
        <v>301.09999999999997</v>
      </c>
      <c r="M5" s="3"/>
      <c r="N5" s="3"/>
      <c r="O5" s="3"/>
      <c r="P5" s="3"/>
    </row>
    <row r="6" spans="1:16" x14ac:dyDescent="0.25">
      <c r="A6" s="5">
        <v>40</v>
      </c>
      <c r="B6" s="2">
        <f t="shared" si="0"/>
        <v>338.79999999999995</v>
      </c>
      <c r="M6" s="3"/>
      <c r="N6" s="3"/>
      <c r="O6" s="3"/>
      <c r="P6" s="3"/>
    </row>
    <row r="7" spans="1:16" x14ac:dyDescent="0.25">
      <c r="A7" s="5">
        <v>50</v>
      </c>
      <c r="B7" s="2">
        <f t="shared" si="0"/>
        <v>376.49999999999994</v>
      </c>
      <c r="M7" s="3"/>
      <c r="N7" s="3"/>
      <c r="O7" s="3"/>
      <c r="P7" s="3"/>
    </row>
    <row r="8" spans="1:16" x14ac:dyDescent="0.25">
      <c r="A8" s="5">
        <v>60</v>
      </c>
      <c r="B8" s="2">
        <f t="shared" si="0"/>
        <v>414.19999999999993</v>
      </c>
      <c r="M8" s="3"/>
      <c r="N8" s="3"/>
      <c r="O8" s="3"/>
      <c r="P8" s="3"/>
    </row>
    <row r="9" spans="1:16" x14ac:dyDescent="0.25">
      <c r="A9" s="5">
        <v>70</v>
      </c>
      <c r="B9" s="2">
        <f t="shared" si="0"/>
        <v>451.89999999999992</v>
      </c>
      <c r="M9" s="3"/>
      <c r="N9" s="3"/>
      <c r="O9" s="3"/>
      <c r="P9" s="3"/>
    </row>
    <row r="10" spans="1:16" x14ac:dyDescent="0.25">
      <c r="A10" s="5">
        <v>80</v>
      </c>
      <c r="B10" s="2">
        <f t="shared" si="0"/>
        <v>489.59999999999991</v>
      </c>
      <c r="M10" s="3"/>
      <c r="N10" s="3"/>
      <c r="O10" s="3"/>
      <c r="P10" s="3"/>
    </row>
    <row r="11" spans="1:16" x14ac:dyDescent="0.25">
      <c r="A11" s="5">
        <v>90</v>
      </c>
      <c r="B11" s="2">
        <f t="shared" si="0"/>
        <v>527.29999999999995</v>
      </c>
      <c r="M11" s="3"/>
      <c r="N11" s="3"/>
      <c r="O11" s="3"/>
      <c r="P11" s="3"/>
    </row>
    <row r="12" spans="1:16" x14ac:dyDescent="0.25">
      <c r="A12" s="5">
        <v>100</v>
      </c>
      <c r="B12" s="4">
        <v>565</v>
      </c>
      <c r="M12" s="3"/>
      <c r="N12" s="3"/>
      <c r="O12" s="3"/>
      <c r="P12" s="3"/>
    </row>
    <row r="13" spans="1:16" x14ac:dyDescent="0.25">
      <c r="A13" s="5">
        <v>110</v>
      </c>
      <c r="B13" s="2">
        <f t="shared" ref="B13:B21" si="1">((B$22-B$12)/10)+B12</f>
        <v>602.79999999999995</v>
      </c>
      <c r="M13" s="3"/>
      <c r="N13" s="3"/>
      <c r="O13" s="3"/>
      <c r="P13" s="3"/>
    </row>
    <row r="14" spans="1:16" x14ac:dyDescent="0.25">
      <c r="A14" s="5">
        <v>120</v>
      </c>
      <c r="B14" s="2">
        <f t="shared" si="1"/>
        <v>640.59999999999991</v>
      </c>
      <c r="M14" s="3"/>
      <c r="N14" s="3"/>
      <c r="O14" s="3"/>
      <c r="P14" s="3"/>
    </row>
    <row r="15" spans="1:16" x14ac:dyDescent="0.25">
      <c r="A15" s="5">
        <v>130</v>
      </c>
      <c r="B15" s="2">
        <f t="shared" si="1"/>
        <v>678.39999999999986</v>
      </c>
      <c r="M15" s="3"/>
      <c r="N15" s="3"/>
      <c r="O15" s="3"/>
      <c r="P15" s="3"/>
    </row>
    <row r="16" spans="1:16" x14ac:dyDescent="0.25">
      <c r="A16" s="5">
        <v>140</v>
      </c>
      <c r="B16" s="2">
        <f t="shared" si="1"/>
        <v>716.19999999999982</v>
      </c>
      <c r="M16" s="3"/>
      <c r="N16" s="3"/>
      <c r="O16" s="3"/>
      <c r="P16" s="3"/>
    </row>
    <row r="17" spans="1:16" x14ac:dyDescent="0.25">
      <c r="A17" s="5">
        <v>150</v>
      </c>
      <c r="B17" s="2">
        <f t="shared" si="1"/>
        <v>753.99999999999977</v>
      </c>
      <c r="M17" s="3"/>
      <c r="N17" s="3"/>
      <c r="O17" s="3"/>
      <c r="P17" s="3"/>
    </row>
    <row r="18" spans="1:16" x14ac:dyDescent="0.25">
      <c r="A18" s="5">
        <v>160</v>
      </c>
      <c r="B18" s="2">
        <f t="shared" si="1"/>
        <v>791.79999999999973</v>
      </c>
      <c r="M18" s="3"/>
      <c r="N18" s="3"/>
      <c r="O18" s="3"/>
      <c r="P18" s="3"/>
    </row>
    <row r="19" spans="1:16" x14ac:dyDescent="0.25">
      <c r="A19" s="5">
        <v>170</v>
      </c>
      <c r="B19" s="2">
        <f t="shared" si="1"/>
        <v>829.59999999999968</v>
      </c>
      <c r="M19" s="3"/>
      <c r="N19" s="3"/>
      <c r="O19" s="3"/>
      <c r="P19" s="3"/>
    </row>
    <row r="20" spans="1:16" x14ac:dyDescent="0.25">
      <c r="A20" s="5">
        <v>180</v>
      </c>
      <c r="B20" s="2">
        <f t="shared" si="1"/>
        <v>867.39999999999964</v>
      </c>
      <c r="M20" s="3"/>
      <c r="N20" s="3"/>
      <c r="O20" s="3"/>
      <c r="P20" s="3"/>
    </row>
    <row r="21" spans="1:16" x14ac:dyDescent="0.25">
      <c r="A21" s="5">
        <v>190</v>
      </c>
      <c r="B21" s="2">
        <f t="shared" si="1"/>
        <v>905.19999999999959</v>
      </c>
      <c r="M21" s="3"/>
      <c r="N21" s="3"/>
      <c r="O21" s="3"/>
      <c r="P21" s="3"/>
    </row>
    <row r="22" spans="1:16" x14ac:dyDescent="0.25">
      <c r="A22" s="5">
        <v>200</v>
      </c>
      <c r="B22" s="4">
        <v>943</v>
      </c>
      <c r="M22" s="3"/>
      <c r="N22" s="3"/>
      <c r="O22" s="3"/>
      <c r="P22" s="3"/>
    </row>
    <row r="23" spans="1:16" x14ac:dyDescent="0.25">
      <c r="A23" s="5">
        <v>210</v>
      </c>
      <c r="B23" s="2">
        <f t="shared" ref="B23:B31" si="2">((B$32-B$22)/10)+B22</f>
        <v>980.9</v>
      </c>
      <c r="M23" s="3"/>
      <c r="N23" s="3"/>
      <c r="O23" s="3"/>
      <c r="P23" s="3"/>
    </row>
    <row r="24" spans="1:16" x14ac:dyDescent="0.25">
      <c r="A24" s="5">
        <v>220</v>
      </c>
      <c r="B24" s="2">
        <f t="shared" si="2"/>
        <v>1018.8</v>
      </c>
      <c r="M24" s="3"/>
      <c r="N24" s="3"/>
      <c r="O24" s="3"/>
      <c r="P24" s="3"/>
    </row>
    <row r="25" spans="1:16" x14ac:dyDescent="0.25">
      <c r="A25" s="5">
        <v>230</v>
      </c>
      <c r="B25" s="2">
        <f t="shared" si="2"/>
        <v>1056.7</v>
      </c>
      <c r="M25" s="3"/>
      <c r="N25" s="3"/>
      <c r="O25" s="3"/>
      <c r="P25" s="3"/>
    </row>
    <row r="26" spans="1:16" x14ac:dyDescent="0.25">
      <c r="A26" s="5">
        <v>240</v>
      </c>
      <c r="B26" s="2">
        <f t="shared" si="2"/>
        <v>1094.6000000000001</v>
      </c>
      <c r="M26" s="3"/>
      <c r="N26" s="3"/>
      <c r="O26" s="3"/>
      <c r="P26" s="3"/>
    </row>
    <row r="27" spans="1:16" x14ac:dyDescent="0.25">
      <c r="A27" s="5">
        <v>250</v>
      </c>
      <c r="B27" s="2">
        <f t="shared" si="2"/>
        <v>1132.5000000000002</v>
      </c>
      <c r="M27" s="3"/>
      <c r="N27" s="3"/>
      <c r="O27" s="3"/>
      <c r="P27" s="3"/>
    </row>
    <row r="28" spans="1:16" x14ac:dyDescent="0.25">
      <c r="A28" s="5">
        <v>260</v>
      </c>
      <c r="B28" s="2">
        <f t="shared" si="2"/>
        <v>1170.4000000000003</v>
      </c>
      <c r="M28" s="3"/>
      <c r="N28" s="3"/>
      <c r="O28" s="3"/>
      <c r="P28" s="3"/>
    </row>
    <row r="29" spans="1:16" x14ac:dyDescent="0.25">
      <c r="A29" s="5">
        <v>270</v>
      </c>
      <c r="B29" s="2">
        <f t="shared" si="2"/>
        <v>1208.3000000000004</v>
      </c>
      <c r="M29" s="3"/>
      <c r="N29" s="3"/>
      <c r="O29" s="3"/>
      <c r="P29" s="3"/>
    </row>
    <row r="30" spans="1:16" x14ac:dyDescent="0.25">
      <c r="A30" s="5">
        <v>280</v>
      </c>
      <c r="B30" s="2">
        <f t="shared" si="2"/>
        <v>1246.2000000000005</v>
      </c>
      <c r="M30" s="3"/>
      <c r="N30" s="3"/>
      <c r="O30" s="3"/>
      <c r="P30" s="3"/>
    </row>
    <row r="31" spans="1:16" x14ac:dyDescent="0.25">
      <c r="A31" s="5">
        <v>290</v>
      </c>
      <c r="B31" s="2">
        <f t="shared" si="2"/>
        <v>1284.1000000000006</v>
      </c>
      <c r="M31" s="3"/>
      <c r="N31" s="3"/>
      <c r="O31" s="3"/>
      <c r="P31" s="3"/>
    </row>
    <row r="32" spans="1:16" x14ac:dyDescent="0.25">
      <c r="A32" s="5">
        <v>300</v>
      </c>
      <c r="B32" s="4">
        <v>1322</v>
      </c>
      <c r="M32" s="3"/>
      <c r="N32" s="3"/>
      <c r="O32" s="3"/>
      <c r="P32" s="3"/>
    </row>
    <row r="33" spans="1:16" x14ac:dyDescent="0.25">
      <c r="A33" s="5">
        <v>310</v>
      </c>
      <c r="B33" s="2">
        <f t="shared" ref="B33:B41" si="3">((B$42-B$32)/10)+B32</f>
        <v>1360</v>
      </c>
      <c r="M33" s="3"/>
      <c r="N33" s="3"/>
      <c r="O33" s="3"/>
      <c r="P33" s="3"/>
    </row>
    <row r="34" spans="1:16" x14ac:dyDescent="0.25">
      <c r="A34" s="5">
        <v>320</v>
      </c>
      <c r="B34" s="2">
        <f t="shared" si="3"/>
        <v>1398</v>
      </c>
      <c r="M34" s="3"/>
      <c r="N34" s="3"/>
      <c r="O34" s="3"/>
      <c r="P34" s="3"/>
    </row>
    <row r="35" spans="1:16" x14ac:dyDescent="0.25">
      <c r="A35" s="5">
        <v>330</v>
      </c>
      <c r="B35" s="2">
        <f t="shared" si="3"/>
        <v>1436</v>
      </c>
      <c r="M35" s="3"/>
      <c r="N35" s="3"/>
      <c r="O35" s="3"/>
      <c r="P35" s="3"/>
    </row>
    <row r="36" spans="1:16" x14ac:dyDescent="0.25">
      <c r="A36" s="5">
        <v>340</v>
      </c>
      <c r="B36" s="2">
        <f t="shared" si="3"/>
        <v>1474</v>
      </c>
      <c r="M36" s="3"/>
      <c r="N36" s="3"/>
      <c r="O36" s="3"/>
      <c r="P36" s="3"/>
    </row>
    <row r="37" spans="1:16" x14ac:dyDescent="0.25">
      <c r="A37" s="5">
        <v>350</v>
      </c>
      <c r="B37" s="2">
        <f t="shared" si="3"/>
        <v>1512</v>
      </c>
      <c r="M37" s="3"/>
      <c r="N37" s="3"/>
      <c r="O37" s="3"/>
      <c r="P37" s="3"/>
    </row>
    <row r="38" spans="1:16" x14ac:dyDescent="0.25">
      <c r="A38" s="5">
        <v>360</v>
      </c>
      <c r="B38" s="2">
        <f t="shared" si="3"/>
        <v>1550</v>
      </c>
      <c r="M38" s="3"/>
      <c r="N38" s="3"/>
      <c r="O38" s="3"/>
      <c r="P38" s="3"/>
    </row>
    <row r="39" spans="1:16" x14ac:dyDescent="0.25">
      <c r="A39" s="5">
        <v>370</v>
      </c>
      <c r="B39" s="2">
        <f t="shared" si="3"/>
        <v>1588</v>
      </c>
      <c r="M39" s="3"/>
      <c r="N39" s="3"/>
      <c r="O39" s="3"/>
      <c r="P39" s="3"/>
    </row>
    <row r="40" spans="1:16" x14ac:dyDescent="0.25">
      <c r="A40" s="5">
        <v>380</v>
      </c>
      <c r="B40" s="2">
        <f t="shared" si="3"/>
        <v>1626</v>
      </c>
      <c r="M40" s="3"/>
      <c r="N40" s="3"/>
      <c r="O40" s="3"/>
      <c r="P40" s="3"/>
    </row>
    <row r="41" spans="1:16" x14ac:dyDescent="0.25">
      <c r="A41" s="5">
        <v>390</v>
      </c>
      <c r="B41" s="2">
        <f t="shared" si="3"/>
        <v>1664</v>
      </c>
      <c r="M41" s="3"/>
      <c r="N41" s="3"/>
      <c r="O41" s="3"/>
      <c r="P41" s="3"/>
    </row>
    <row r="42" spans="1:16" x14ac:dyDescent="0.25">
      <c r="A42" s="5">
        <v>400</v>
      </c>
      <c r="B42" s="4">
        <v>1702</v>
      </c>
      <c r="M42" s="3"/>
      <c r="N42" s="3"/>
      <c r="O42" s="3"/>
      <c r="P42" s="3"/>
    </row>
    <row r="43" spans="1:16" x14ac:dyDescent="0.25">
      <c r="A43" s="5">
        <v>410</v>
      </c>
      <c r="B43" s="2">
        <f t="shared" ref="B43:B51" si="4">((B$52-B$42)/10)+B42</f>
        <v>1740</v>
      </c>
      <c r="M43" s="3"/>
      <c r="N43" s="3"/>
      <c r="O43" s="3"/>
      <c r="P43" s="3"/>
    </row>
    <row r="44" spans="1:16" x14ac:dyDescent="0.25">
      <c r="A44" s="5">
        <v>420</v>
      </c>
      <c r="B44" s="2">
        <f t="shared" si="4"/>
        <v>1778</v>
      </c>
      <c r="M44" s="3"/>
      <c r="N44" s="3"/>
      <c r="O44" s="3"/>
      <c r="P44" s="3"/>
    </row>
    <row r="45" spans="1:16" x14ac:dyDescent="0.25">
      <c r="A45" s="5">
        <v>430</v>
      </c>
      <c r="B45" s="2">
        <f t="shared" si="4"/>
        <v>1816</v>
      </c>
      <c r="M45" s="3"/>
      <c r="N45" s="3"/>
      <c r="O45" s="3"/>
      <c r="P45" s="3"/>
    </row>
    <row r="46" spans="1:16" x14ac:dyDescent="0.25">
      <c r="A46" s="5">
        <v>440</v>
      </c>
      <c r="B46" s="2">
        <f t="shared" si="4"/>
        <v>1854</v>
      </c>
      <c r="M46" s="3"/>
      <c r="N46" s="3"/>
      <c r="O46" s="3"/>
      <c r="P46" s="3"/>
    </row>
    <row r="47" spans="1:16" x14ac:dyDescent="0.25">
      <c r="A47" s="5">
        <v>450</v>
      </c>
      <c r="B47" s="2">
        <f t="shared" si="4"/>
        <v>1892</v>
      </c>
      <c r="M47" s="3"/>
      <c r="N47" s="3"/>
      <c r="O47" s="3"/>
      <c r="P47" s="3"/>
    </row>
    <row r="48" spans="1:16" x14ac:dyDescent="0.25">
      <c r="A48" s="5">
        <v>460</v>
      </c>
      <c r="B48" s="2">
        <f t="shared" si="4"/>
        <v>1930</v>
      </c>
      <c r="M48" s="3"/>
      <c r="N48" s="3"/>
      <c r="O48" s="3"/>
      <c r="P48" s="3"/>
    </row>
    <row r="49" spans="1:16" x14ac:dyDescent="0.25">
      <c r="A49" s="5">
        <v>470</v>
      </c>
      <c r="B49" s="2">
        <f t="shared" si="4"/>
        <v>1968</v>
      </c>
      <c r="M49" s="3"/>
      <c r="N49" s="3"/>
      <c r="O49" s="3"/>
      <c r="P49" s="3"/>
    </row>
    <row r="50" spans="1:16" x14ac:dyDescent="0.25">
      <c r="A50" s="5">
        <v>480</v>
      </c>
      <c r="B50" s="2">
        <f t="shared" si="4"/>
        <v>2006</v>
      </c>
      <c r="M50" s="3"/>
      <c r="N50" s="3"/>
      <c r="O50" s="3"/>
      <c r="P50" s="3"/>
    </row>
    <row r="51" spans="1:16" x14ac:dyDescent="0.25">
      <c r="A51" s="5">
        <v>490</v>
      </c>
      <c r="B51" s="2">
        <f t="shared" si="4"/>
        <v>2044</v>
      </c>
      <c r="M51" s="3"/>
      <c r="N51" s="3"/>
      <c r="O51" s="3"/>
      <c r="P51" s="3"/>
    </row>
    <row r="52" spans="1:16" x14ac:dyDescent="0.25">
      <c r="A52" s="5">
        <v>500</v>
      </c>
      <c r="B52" s="4">
        <v>2082</v>
      </c>
      <c r="M52" s="3"/>
      <c r="N52" s="3"/>
      <c r="O52" s="3"/>
      <c r="P52" s="3"/>
    </row>
    <row r="53" spans="1:16" x14ac:dyDescent="0.25">
      <c r="A53" s="5">
        <v>510</v>
      </c>
      <c r="B53" s="2">
        <f t="shared" ref="B53:B61" si="5">((B$62-B$52)/10+B52)</f>
        <v>2120.1999999999998</v>
      </c>
      <c r="K53" s="3"/>
      <c r="L53" s="3"/>
      <c r="M53" s="3"/>
      <c r="N53" s="3"/>
      <c r="O53" s="3"/>
      <c r="P53" s="3"/>
    </row>
    <row r="54" spans="1:16" x14ac:dyDescent="0.25">
      <c r="A54" s="5">
        <v>520</v>
      </c>
      <c r="B54" s="2">
        <f t="shared" si="5"/>
        <v>2158.3999999999996</v>
      </c>
      <c r="K54" s="3"/>
      <c r="L54" s="3"/>
      <c r="M54" s="3"/>
      <c r="N54" s="3"/>
      <c r="O54" s="3"/>
      <c r="P54" s="3"/>
    </row>
    <row r="55" spans="1:16" x14ac:dyDescent="0.25">
      <c r="A55" s="5">
        <v>530</v>
      </c>
      <c r="B55" s="2">
        <f t="shared" si="5"/>
        <v>2196.5999999999995</v>
      </c>
      <c r="G55" s="3"/>
      <c r="H55" s="3"/>
      <c r="K55" s="3"/>
      <c r="L55" s="3"/>
      <c r="M55" s="3"/>
      <c r="N55" s="3"/>
      <c r="O55" s="3"/>
      <c r="P55" s="3"/>
    </row>
    <row r="56" spans="1:16" x14ac:dyDescent="0.25">
      <c r="A56" s="5">
        <v>540</v>
      </c>
      <c r="B56" s="2">
        <f t="shared" si="5"/>
        <v>2234.7999999999993</v>
      </c>
      <c r="G56" s="3"/>
      <c r="H56" s="3"/>
      <c r="K56" s="3"/>
      <c r="L56" s="3"/>
      <c r="M56" s="3"/>
      <c r="N56" s="3"/>
      <c r="O56" s="3"/>
      <c r="P56" s="3"/>
    </row>
    <row r="57" spans="1:16" x14ac:dyDescent="0.25">
      <c r="A57" s="5">
        <v>550</v>
      </c>
      <c r="B57" s="2">
        <f t="shared" si="5"/>
        <v>2272.9999999999991</v>
      </c>
      <c r="G57" s="3"/>
      <c r="H57" s="3"/>
      <c r="K57" s="3"/>
      <c r="L57" s="3"/>
      <c r="M57" s="3"/>
      <c r="N57" s="3"/>
      <c r="O57" s="3"/>
      <c r="P57" s="3"/>
    </row>
    <row r="58" spans="1:16" x14ac:dyDescent="0.25">
      <c r="A58" s="5">
        <v>560</v>
      </c>
      <c r="B58" s="2">
        <f t="shared" si="5"/>
        <v>2311.1999999999989</v>
      </c>
      <c r="G58" s="3"/>
      <c r="H58" s="3"/>
      <c r="K58" s="3"/>
      <c r="L58" s="3"/>
      <c r="M58" s="3"/>
      <c r="N58" s="3"/>
      <c r="O58" s="3"/>
      <c r="P58" s="3"/>
    </row>
    <row r="59" spans="1:16" x14ac:dyDescent="0.25">
      <c r="A59" s="5">
        <v>570</v>
      </c>
      <c r="B59" s="2">
        <f t="shared" si="5"/>
        <v>2349.3999999999987</v>
      </c>
      <c r="G59" s="3"/>
      <c r="H59" s="3"/>
      <c r="K59" s="3"/>
      <c r="L59" s="3"/>
      <c r="M59" s="3"/>
      <c r="N59" s="3"/>
      <c r="O59" s="3"/>
      <c r="P59" s="3"/>
    </row>
    <row r="60" spans="1:16" x14ac:dyDescent="0.25">
      <c r="A60" s="5">
        <v>580</v>
      </c>
      <c r="B60" s="2">
        <f t="shared" si="5"/>
        <v>2387.5999999999985</v>
      </c>
      <c r="G60" s="3"/>
      <c r="H60" s="3"/>
      <c r="K60" s="3"/>
      <c r="L60" s="3"/>
      <c r="M60" s="3"/>
      <c r="N60" s="3"/>
      <c r="O60" s="3"/>
      <c r="P60" s="3"/>
    </row>
    <row r="61" spans="1:16" x14ac:dyDescent="0.25">
      <c r="A61" s="5">
        <v>590</v>
      </c>
      <c r="B61" s="2">
        <f t="shared" si="5"/>
        <v>2425.7999999999984</v>
      </c>
      <c r="G61" s="3"/>
      <c r="H61" s="3"/>
      <c r="K61" s="3"/>
      <c r="L61" s="3"/>
      <c r="M61" s="3"/>
      <c r="N61" s="3"/>
      <c r="O61" s="3"/>
      <c r="P61" s="3"/>
    </row>
    <row r="62" spans="1:16" x14ac:dyDescent="0.25">
      <c r="A62" s="5">
        <v>600</v>
      </c>
      <c r="B62" s="4">
        <v>2464</v>
      </c>
      <c r="G62" s="3"/>
      <c r="H62" s="3"/>
      <c r="K62" s="3"/>
      <c r="L62" s="3"/>
      <c r="M62" s="3"/>
      <c r="N62" s="3"/>
      <c r="O62" s="3"/>
      <c r="P62" s="3"/>
    </row>
    <row r="63" spans="1:16" x14ac:dyDescent="0.25">
      <c r="A63" s="5">
        <v>610</v>
      </c>
      <c r="B63" s="2">
        <f t="shared" ref="B63:B71" si="6">((B$72-B$62))/10+B62</f>
        <v>2502.1999999999998</v>
      </c>
      <c r="G63" s="3"/>
      <c r="H63" s="3"/>
      <c r="K63" s="3"/>
      <c r="L63" s="3"/>
      <c r="M63" s="3"/>
      <c r="N63" s="3"/>
      <c r="O63" s="3"/>
      <c r="P63" s="3"/>
    </row>
    <row r="64" spans="1:16" x14ac:dyDescent="0.25">
      <c r="A64" s="5">
        <v>620</v>
      </c>
      <c r="B64" s="2">
        <f t="shared" si="6"/>
        <v>2540.3999999999996</v>
      </c>
      <c r="G64" s="3"/>
      <c r="H64" s="3"/>
      <c r="K64" s="3"/>
      <c r="L64" s="3"/>
      <c r="M64" s="3"/>
      <c r="N64" s="3"/>
      <c r="O64" s="3"/>
      <c r="P64" s="3"/>
    </row>
    <row r="65" spans="1:16" x14ac:dyDescent="0.25">
      <c r="A65" s="5">
        <v>630</v>
      </c>
      <c r="B65" s="2">
        <f t="shared" si="6"/>
        <v>2578.5999999999995</v>
      </c>
      <c r="G65" s="3"/>
      <c r="H65" s="3"/>
      <c r="K65" s="3"/>
      <c r="L65" s="3"/>
      <c r="M65" s="3"/>
      <c r="N65" s="3"/>
      <c r="O65" s="3"/>
      <c r="P65" s="3"/>
    </row>
    <row r="66" spans="1:16" x14ac:dyDescent="0.25">
      <c r="A66" s="5">
        <v>640</v>
      </c>
      <c r="B66" s="2">
        <f t="shared" si="6"/>
        <v>2616.7999999999993</v>
      </c>
      <c r="G66" s="3"/>
      <c r="H66" s="3"/>
      <c r="K66" s="3"/>
      <c r="L66" s="3"/>
      <c r="M66" s="3"/>
      <c r="N66" s="3"/>
      <c r="O66" s="3"/>
      <c r="P66" s="3"/>
    </row>
    <row r="67" spans="1:16" x14ac:dyDescent="0.25">
      <c r="A67" s="5">
        <v>650</v>
      </c>
      <c r="B67" s="2">
        <f t="shared" si="6"/>
        <v>2654.9999999999991</v>
      </c>
      <c r="G67" s="3"/>
      <c r="H67" s="3"/>
      <c r="K67" s="3"/>
      <c r="L67" s="3"/>
      <c r="M67" s="3"/>
      <c r="N67" s="3"/>
      <c r="O67" s="3"/>
      <c r="P67" s="3"/>
    </row>
    <row r="68" spans="1:16" x14ac:dyDescent="0.25">
      <c r="A68" s="5">
        <v>660</v>
      </c>
      <c r="B68" s="2">
        <f t="shared" si="6"/>
        <v>2693.1999999999989</v>
      </c>
      <c r="G68" s="3"/>
      <c r="H68" s="3"/>
      <c r="K68" s="3"/>
      <c r="L68" s="3"/>
      <c r="M68" s="3"/>
      <c r="N68" s="3"/>
      <c r="O68" s="3"/>
      <c r="P68" s="3"/>
    </row>
    <row r="69" spans="1:16" x14ac:dyDescent="0.25">
      <c r="A69" s="5">
        <v>670</v>
      </c>
      <c r="B69" s="2">
        <f t="shared" si="6"/>
        <v>2731.3999999999987</v>
      </c>
      <c r="G69" s="3"/>
      <c r="H69" s="3"/>
      <c r="K69" s="3"/>
      <c r="L69" s="3"/>
      <c r="M69" s="3"/>
      <c r="N69" s="3"/>
      <c r="O69" s="3"/>
      <c r="P69" s="3"/>
    </row>
    <row r="70" spans="1:16" x14ac:dyDescent="0.25">
      <c r="A70" s="5">
        <v>680</v>
      </c>
      <c r="B70" s="2">
        <f t="shared" si="6"/>
        <v>2769.5999999999985</v>
      </c>
      <c r="G70" s="3"/>
      <c r="H70" s="3"/>
      <c r="K70" s="3"/>
      <c r="L70" s="3"/>
      <c r="M70" s="3"/>
      <c r="N70" s="3"/>
      <c r="O70" s="3"/>
      <c r="P70" s="3"/>
    </row>
    <row r="71" spans="1:16" x14ac:dyDescent="0.25">
      <c r="A71" s="5">
        <v>690</v>
      </c>
      <c r="B71" s="2">
        <f t="shared" si="6"/>
        <v>2807.7999999999984</v>
      </c>
      <c r="G71" s="3"/>
      <c r="H71" s="3"/>
      <c r="K71" s="3"/>
      <c r="L71" s="3"/>
      <c r="M71" s="3"/>
      <c r="N71" s="3"/>
      <c r="O71" s="3"/>
      <c r="P71" s="3"/>
    </row>
    <row r="72" spans="1:16" x14ac:dyDescent="0.25">
      <c r="A72" s="5">
        <v>700</v>
      </c>
      <c r="B72" s="4">
        <v>2846</v>
      </c>
      <c r="G72" s="3"/>
      <c r="H72" s="3"/>
      <c r="K72" s="3"/>
      <c r="L72" s="3"/>
      <c r="M72" s="3"/>
      <c r="N72" s="3"/>
      <c r="O72" s="3"/>
      <c r="P72" s="3"/>
    </row>
    <row r="73" spans="1:16" x14ac:dyDescent="0.25">
      <c r="A73" s="5">
        <v>710</v>
      </c>
      <c r="B73" s="2">
        <f t="shared" ref="B73:B81" si="7">((B$82-B$72)/10+B72)</f>
        <v>2884.3</v>
      </c>
      <c r="G73" s="3"/>
      <c r="H73" s="3"/>
      <c r="K73" s="3"/>
      <c r="L73" s="3"/>
      <c r="M73" s="3"/>
      <c r="N73" s="3"/>
      <c r="O73" s="3"/>
      <c r="P73" s="3"/>
    </row>
    <row r="74" spans="1:16" x14ac:dyDescent="0.25">
      <c r="A74" s="5">
        <v>720</v>
      </c>
      <c r="B74" s="2">
        <f t="shared" si="7"/>
        <v>2922.6000000000004</v>
      </c>
      <c r="G74" s="3"/>
      <c r="H74" s="3"/>
      <c r="K74" s="3"/>
      <c r="L74" s="3"/>
      <c r="M74" s="3"/>
      <c r="N74" s="3"/>
      <c r="O74" s="3"/>
      <c r="P74" s="3"/>
    </row>
    <row r="75" spans="1:16" x14ac:dyDescent="0.25">
      <c r="A75" s="5">
        <v>730</v>
      </c>
      <c r="B75" s="2">
        <f t="shared" si="7"/>
        <v>2960.9000000000005</v>
      </c>
      <c r="G75" s="3"/>
      <c r="H75" s="3"/>
      <c r="K75" s="3"/>
      <c r="L75" s="3"/>
      <c r="M75" s="3"/>
      <c r="N75" s="3"/>
      <c r="O75" s="3"/>
      <c r="P75" s="3"/>
    </row>
    <row r="76" spans="1:16" x14ac:dyDescent="0.25">
      <c r="A76" s="5">
        <v>740</v>
      </c>
      <c r="B76" s="2">
        <f t="shared" si="7"/>
        <v>2999.2000000000007</v>
      </c>
      <c r="G76" s="3"/>
      <c r="H76" s="3"/>
      <c r="K76" s="3"/>
      <c r="L76" s="3"/>
      <c r="M76" s="3"/>
      <c r="N76" s="3"/>
      <c r="O76" s="3"/>
      <c r="P76" s="3"/>
    </row>
    <row r="77" spans="1:16" x14ac:dyDescent="0.25">
      <c r="A77" s="5">
        <v>750</v>
      </c>
      <c r="B77" s="2">
        <f t="shared" si="7"/>
        <v>3037.5000000000009</v>
      </c>
      <c r="G77" s="3"/>
      <c r="H77" s="3"/>
      <c r="K77" s="3"/>
      <c r="L77" s="3"/>
      <c r="M77" s="3"/>
      <c r="N77" s="3"/>
      <c r="O77" s="3"/>
      <c r="P77" s="3"/>
    </row>
    <row r="78" spans="1:16" x14ac:dyDescent="0.25">
      <c r="A78" s="5">
        <v>760</v>
      </c>
      <c r="B78" s="2">
        <f t="shared" si="7"/>
        <v>3075.8000000000011</v>
      </c>
      <c r="G78" s="3"/>
      <c r="H78" s="3"/>
      <c r="K78" s="3"/>
      <c r="L78" s="3"/>
      <c r="M78" s="3"/>
      <c r="N78" s="3"/>
      <c r="O78" s="3"/>
      <c r="P78" s="3"/>
    </row>
    <row r="79" spans="1:16" x14ac:dyDescent="0.25">
      <c r="A79" s="5">
        <v>770</v>
      </c>
      <c r="B79" s="2">
        <f t="shared" si="7"/>
        <v>3114.1000000000013</v>
      </c>
      <c r="G79" s="3"/>
      <c r="H79" s="3"/>
      <c r="K79" s="3"/>
      <c r="L79" s="3"/>
      <c r="M79" s="3"/>
      <c r="N79" s="3"/>
      <c r="O79" s="3"/>
      <c r="P79" s="3"/>
    </row>
    <row r="80" spans="1:16" x14ac:dyDescent="0.25">
      <c r="A80" s="5">
        <v>780</v>
      </c>
      <c r="B80" s="2">
        <f t="shared" si="7"/>
        <v>3152.4000000000015</v>
      </c>
      <c r="G80" s="3"/>
      <c r="H80" s="3"/>
      <c r="K80" s="3"/>
      <c r="L80" s="3"/>
      <c r="M80" s="3"/>
      <c r="N80" s="3"/>
      <c r="O80" s="3"/>
      <c r="P80" s="3"/>
    </row>
    <row r="81" spans="1:16" x14ac:dyDescent="0.25">
      <c r="A81" s="5">
        <v>790</v>
      </c>
      <c r="B81" s="2">
        <f t="shared" si="7"/>
        <v>3190.7000000000016</v>
      </c>
      <c r="G81" s="3"/>
      <c r="H81" s="3"/>
      <c r="K81" s="3"/>
      <c r="L81" s="3"/>
      <c r="M81" s="3"/>
      <c r="N81" s="3"/>
      <c r="O81" s="3"/>
      <c r="P81" s="3"/>
    </row>
    <row r="82" spans="1:16" x14ac:dyDescent="0.25">
      <c r="A82" s="5">
        <v>800</v>
      </c>
      <c r="B82" s="4">
        <v>3229</v>
      </c>
      <c r="G82" s="3"/>
      <c r="H82" s="3"/>
      <c r="K82" s="3"/>
      <c r="L82" s="3"/>
      <c r="M82" s="3"/>
      <c r="N82" s="3"/>
      <c r="O82" s="3"/>
      <c r="P82" s="3"/>
    </row>
    <row r="83" spans="1:16" x14ac:dyDescent="0.25">
      <c r="A83" s="5">
        <v>810</v>
      </c>
      <c r="B83" s="2">
        <f t="shared" ref="B83:B91" si="8">((B$92-B$82)/10+B82)</f>
        <v>3267.5</v>
      </c>
      <c r="G83" s="3"/>
      <c r="H83" s="3"/>
      <c r="K83" s="3"/>
      <c r="L83" s="3"/>
      <c r="M83" s="3"/>
      <c r="N83" s="3"/>
      <c r="O83" s="3"/>
      <c r="P83" s="3"/>
    </row>
    <row r="84" spans="1:16" x14ac:dyDescent="0.25">
      <c r="A84" s="5">
        <v>820</v>
      </c>
      <c r="B84" s="2">
        <f t="shared" si="8"/>
        <v>3306</v>
      </c>
      <c r="G84" s="3"/>
      <c r="H84" s="3"/>
      <c r="K84" s="3"/>
      <c r="L84" s="3"/>
      <c r="M84" s="3"/>
      <c r="N84" s="3"/>
      <c r="O84" s="3"/>
      <c r="P84" s="3"/>
    </row>
    <row r="85" spans="1:16" x14ac:dyDescent="0.25">
      <c r="A85" s="5">
        <v>830</v>
      </c>
      <c r="B85" s="2">
        <f t="shared" si="8"/>
        <v>3344.5</v>
      </c>
      <c r="G85" s="3"/>
      <c r="H85" s="3"/>
      <c r="K85" s="3"/>
      <c r="L85" s="3"/>
      <c r="M85" s="3"/>
      <c r="N85" s="3"/>
      <c r="O85" s="3"/>
      <c r="P85" s="3"/>
    </row>
    <row r="86" spans="1:16" x14ac:dyDescent="0.25">
      <c r="A86" s="5">
        <v>840</v>
      </c>
      <c r="B86" s="2">
        <f t="shared" si="8"/>
        <v>3383</v>
      </c>
      <c r="G86" s="3"/>
      <c r="H86" s="3"/>
      <c r="K86" s="3"/>
      <c r="L86" s="3"/>
      <c r="M86" s="3"/>
      <c r="N86" s="3"/>
      <c r="O86" s="3"/>
      <c r="P86" s="3"/>
    </row>
    <row r="87" spans="1:16" x14ac:dyDescent="0.25">
      <c r="A87" s="5">
        <v>850</v>
      </c>
      <c r="B87" s="2">
        <f t="shared" si="8"/>
        <v>3421.5</v>
      </c>
      <c r="G87" s="3"/>
      <c r="H87" s="3"/>
      <c r="K87" s="3"/>
      <c r="L87" s="3"/>
      <c r="M87" s="3"/>
      <c r="N87" s="3"/>
      <c r="O87" s="3"/>
      <c r="P87" s="3"/>
    </row>
    <row r="88" spans="1:16" x14ac:dyDescent="0.25">
      <c r="A88" s="5">
        <v>860</v>
      </c>
      <c r="B88" s="2">
        <f t="shared" si="8"/>
        <v>3460</v>
      </c>
      <c r="G88" s="3"/>
      <c r="H88" s="3"/>
      <c r="K88" s="3"/>
      <c r="L88" s="3"/>
      <c r="M88" s="3"/>
      <c r="N88" s="3"/>
      <c r="O88" s="3"/>
      <c r="P88" s="3"/>
    </row>
    <row r="89" spans="1:16" x14ac:dyDescent="0.25">
      <c r="A89" s="5">
        <v>870</v>
      </c>
      <c r="B89" s="2">
        <f t="shared" si="8"/>
        <v>3498.5</v>
      </c>
      <c r="G89" s="3"/>
      <c r="H89" s="3"/>
      <c r="K89" s="3"/>
      <c r="L89" s="3"/>
      <c r="M89" s="3"/>
      <c r="N89" s="3"/>
      <c r="O89" s="3"/>
      <c r="P89" s="3"/>
    </row>
    <row r="90" spans="1:16" x14ac:dyDescent="0.25">
      <c r="A90" s="5">
        <v>880</v>
      </c>
      <c r="B90" s="2">
        <f t="shared" si="8"/>
        <v>3537</v>
      </c>
      <c r="G90" s="3"/>
      <c r="H90" s="3"/>
      <c r="K90" s="3"/>
      <c r="L90" s="3"/>
      <c r="M90" s="3"/>
      <c r="N90" s="3"/>
      <c r="O90" s="3"/>
      <c r="P90" s="3"/>
    </row>
    <row r="91" spans="1:16" x14ac:dyDescent="0.25">
      <c r="A91" s="5">
        <v>890</v>
      </c>
      <c r="B91" s="2">
        <f t="shared" si="8"/>
        <v>3575.5</v>
      </c>
      <c r="G91" s="3"/>
      <c r="H91" s="3"/>
      <c r="K91" s="3"/>
      <c r="L91" s="3"/>
      <c r="M91" s="3"/>
      <c r="N91" s="3"/>
      <c r="O91" s="3"/>
      <c r="P91" s="3"/>
    </row>
    <row r="92" spans="1:16" x14ac:dyDescent="0.25">
      <c r="A92" s="5">
        <v>900</v>
      </c>
      <c r="B92" s="4">
        <v>3614</v>
      </c>
      <c r="G92" s="3"/>
      <c r="H92" s="3"/>
      <c r="K92" s="3"/>
      <c r="L92" s="3"/>
      <c r="M92" s="3"/>
      <c r="N92" s="3"/>
      <c r="O92" s="3"/>
      <c r="P92" s="3"/>
    </row>
    <row r="93" spans="1:16" x14ac:dyDescent="0.25">
      <c r="A93" s="5">
        <v>910</v>
      </c>
      <c r="B93" s="2">
        <f t="shared" ref="B93:B101" si="9">((B$102-B$92)/10+B92)</f>
        <v>3652.5</v>
      </c>
      <c r="G93" s="3"/>
      <c r="H93" s="3"/>
      <c r="K93" s="3"/>
      <c r="L93" s="3"/>
      <c r="M93" s="3"/>
      <c r="N93" s="3"/>
      <c r="O93" s="3"/>
      <c r="P93" s="3"/>
    </row>
    <row r="94" spans="1:16" x14ac:dyDescent="0.25">
      <c r="A94" s="5">
        <v>920</v>
      </c>
      <c r="B94" s="2">
        <f t="shared" si="9"/>
        <v>3691</v>
      </c>
      <c r="G94" s="3"/>
      <c r="H94" s="3"/>
      <c r="K94" s="3"/>
      <c r="L94" s="3"/>
      <c r="M94" s="3"/>
      <c r="N94" s="3"/>
      <c r="O94" s="3"/>
      <c r="P94" s="3"/>
    </row>
    <row r="95" spans="1:16" x14ac:dyDescent="0.25">
      <c r="A95" s="5">
        <v>930</v>
      </c>
      <c r="B95" s="2">
        <f t="shared" si="9"/>
        <v>3729.5</v>
      </c>
      <c r="G95" s="3"/>
      <c r="H95" s="3"/>
      <c r="K95" s="3"/>
      <c r="L95" s="3"/>
      <c r="M95" s="3"/>
      <c r="N95" s="3"/>
      <c r="O95" s="3"/>
      <c r="P95" s="3"/>
    </row>
    <row r="96" spans="1:16" x14ac:dyDescent="0.25">
      <c r="A96" s="5">
        <v>940</v>
      </c>
      <c r="B96" s="2">
        <f t="shared" si="9"/>
        <v>3768</v>
      </c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5">
        <v>950</v>
      </c>
      <c r="B97" s="2">
        <f t="shared" si="9"/>
        <v>3806.5</v>
      </c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5">
        <v>960</v>
      </c>
      <c r="B98" s="2">
        <f t="shared" si="9"/>
        <v>3845</v>
      </c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5">
        <v>970</v>
      </c>
      <c r="B99" s="2">
        <f t="shared" si="9"/>
        <v>3883.5</v>
      </c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5">
        <v>980</v>
      </c>
      <c r="B100" s="2">
        <f t="shared" si="9"/>
        <v>3922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5">
        <v>990</v>
      </c>
      <c r="B101" s="2">
        <f t="shared" si="9"/>
        <v>3960.5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5">
        <v>1000</v>
      </c>
      <c r="B102" s="4">
        <v>3999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5">
        <v>1010</v>
      </c>
      <c r="B103" s="2">
        <f t="shared" ref="B103:B111" si="10">((B$112-B$102)/10+B102)</f>
        <v>4037.6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5">
        <v>1020</v>
      </c>
      <c r="B104" s="2">
        <f t="shared" si="10"/>
        <v>4076.2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5">
        <v>1030</v>
      </c>
      <c r="B105" s="2">
        <f t="shared" si="10"/>
        <v>4114.8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5">
        <v>1040</v>
      </c>
      <c r="B106" s="2">
        <f t="shared" si="10"/>
        <v>4153.4000000000005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5">
        <v>1050</v>
      </c>
      <c r="B107" s="2">
        <f t="shared" si="10"/>
        <v>4192.0000000000009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5">
        <v>1060</v>
      </c>
      <c r="B108" s="2">
        <f t="shared" si="10"/>
        <v>4230.6000000000013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5">
        <v>1070</v>
      </c>
      <c r="B109" s="2">
        <f t="shared" si="10"/>
        <v>4269.2000000000016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5">
        <v>1080</v>
      </c>
      <c r="B110" s="2">
        <f t="shared" si="10"/>
        <v>4307.800000000002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5">
        <v>1090</v>
      </c>
      <c r="B111" s="2">
        <f t="shared" si="10"/>
        <v>4346.4000000000024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5">
      <c r="A112" s="5">
        <v>1100</v>
      </c>
      <c r="B112" s="4">
        <v>4385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5">
      <c r="A113" s="5">
        <v>1110</v>
      </c>
      <c r="B113" s="2">
        <f t="shared" ref="B113:B121" si="11">((B$122-B$112)/10+B112)</f>
        <v>4423.8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5">
      <c r="A114" s="5">
        <v>1120</v>
      </c>
      <c r="B114" s="2">
        <f t="shared" si="11"/>
        <v>4462.6000000000004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5">
        <v>1130</v>
      </c>
      <c r="B115" s="2">
        <f t="shared" si="11"/>
        <v>4501.4000000000005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5">
        <v>1140</v>
      </c>
      <c r="B116" s="2">
        <f t="shared" si="11"/>
        <v>4540.2000000000007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5">
      <c r="A117" s="5">
        <v>1150</v>
      </c>
      <c r="B117" s="2">
        <f t="shared" si="11"/>
        <v>4579.0000000000009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5">
        <v>1160</v>
      </c>
      <c r="B118" s="2">
        <f t="shared" si="11"/>
        <v>4617.8000000000011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5">
        <v>1170</v>
      </c>
      <c r="B119" s="2">
        <f t="shared" si="11"/>
        <v>4656.6000000000013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5">
        <v>1180</v>
      </c>
      <c r="B120" s="2">
        <f t="shared" si="11"/>
        <v>4695.4000000000015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5">
        <v>1190</v>
      </c>
      <c r="B121" s="2">
        <f t="shared" si="11"/>
        <v>4734.2000000000016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5">
        <v>1200</v>
      </c>
      <c r="B122" s="4">
        <v>4773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5">
      <c r="A123" s="5">
        <v>1210</v>
      </c>
      <c r="B123" s="2">
        <f t="shared" ref="B123:B131" si="12">((B$132 -B$122)/10+B122)</f>
        <v>4811.8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5">
      <c r="A124" s="5">
        <v>1220</v>
      </c>
      <c r="B124" s="2">
        <f t="shared" si="12"/>
        <v>4850.6000000000004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5">
      <c r="A125" s="5">
        <v>1230</v>
      </c>
      <c r="B125" s="2">
        <f t="shared" si="12"/>
        <v>4889.4000000000005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5">
        <v>1240</v>
      </c>
      <c r="B126" s="2">
        <f t="shared" si="12"/>
        <v>4928.2000000000007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5">
      <c r="A127" s="5">
        <v>1250</v>
      </c>
      <c r="B127" s="2">
        <f t="shared" si="12"/>
        <v>4967.0000000000009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5">
        <v>1260</v>
      </c>
      <c r="B128" s="2">
        <f t="shared" si="12"/>
        <v>5005.8000000000011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5">
      <c r="A129" s="5">
        <v>1270</v>
      </c>
      <c r="B129" s="2">
        <f t="shared" si="12"/>
        <v>5044.6000000000013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5">
        <v>1280</v>
      </c>
      <c r="B130" s="2">
        <f t="shared" si="12"/>
        <v>5083.4000000000015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5">
        <v>1290</v>
      </c>
      <c r="B131" s="2">
        <f t="shared" si="12"/>
        <v>5122.2000000000016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5">
      <c r="A132" s="5">
        <v>1300</v>
      </c>
      <c r="B132" s="4">
        <v>5161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5">
      <c r="A133" s="5">
        <v>1310</v>
      </c>
      <c r="B133" s="2">
        <f t="shared" ref="B133:B141" si="13">((B$142-B$132)/10+B132)</f>
        <v>5200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5">
      <c r="A134" s="5">
        <v>1320</v>
      </c>
      <c r="B134" s="2">
        <f t="shared" si="13"/>
        <v>5239</v>
      </c>
    </row>
    <row r="135" spans="1:16" x14ac:dyDescent="0.25">
      <c r="A135" s="5">
        <v>1330</v>
      </c>
      <c r="B135" s="2">
        <f t="shared" si="13"/>
        <v>5278</v>
      </c>
    </row>
    <row r="136" spans="1:16" x14ac:dyDescent="0.25">
      <c r="A136" s="5">
        <v>1340</v>
      </c>
      <c r="B136" s="2">
        <f t="shared" si="13"/>
        <v>5317</v>
      </c>
    </row>
    <row r="137" spans="1:16" x14ac:dyDescent="0.25">
      <c r="A137" s="5">
        <v>1350</v>
      </c>
      <c r="B137" s="2">
        <f t="shared" si="13"/>
        <v>5356</v>
      </c>
    </row>
    <row r="138" spans="1:16" x14ac:dyDescent="0.25">
      <c r="A138" s="5">
        <v>1360</v>
      </c>
      <c r="B138" s="2">
        <f t="shared" si="13"/>
        <v>5395</v>
      </c>
    </row>
    <row r="139" spans="1:16" x14ac:dyDescent="0.25">
      <c r="A139" s="5">
        <f t="shared" ref="A139:A170" si="14">A138+10</f>
        <v>1370</v>
      </c>
      <c r="B139" s="2">
        <f t="shared" si="13"/>
        <v>5434</v>
      </c>
    </row>
    <row r="140" spans="1:16" x14ac:dyDescent="0.25">
      <c r="A140" s="5">
        <f t="shared" si="14"/>
        <v>1380</v>
      </c>
      <c r="B140" s="2">
        <f t="shared" si="13"/>
        <v>5473</v>
      </c>
    </row>
    <row r="141" spans="1:16" x14ac:dyDescent="0.25">
      <c r="A141" s="5">
        <f t="shared" si="14"/>
        <v>1390</v>
      </c>
      <c r="B141" s="2">
        <f t="shared" si="13"/>
        <v>5512</v>
      </c>
    </row>
    <row r="142" spans="1:16" x14ac:dyDescent="0.25">
      <c r="A142" s="5">
        <f t="shared" si="14"/>
        <v>1400</v>
      </c>
      <c r="B142" s="4">
        <v>5551</v>
      </c>
    </row>
    <row r="143" spans="1:16" x14ac:dyDescent="0.25">
      <c r="A143" s="5">
        <f t="shared" si="14"/>
        <v>1410</v>
      </c>
      <c r="B143" s="2">
        <f t="shared" ref="B143:B151" si="15">((B$152-B$142)/10+B142)</f>
        <v>5590.2</v>
      </c>
    </row>
    <row r="144" spans="1:16" x14ac:dyDescent="0.25">
      <c r="A144" s="5">
        <f t="shared" si="14"/>
        <v>1420</v>
      </c>
      <c r="B144" s="2">
        <f t="shared" si="15"/>
        <v>5629.4</v>
      </c>
    </row>
    <row r="145" spans="1:2" x14ac:dyDescent="0.25">
      <c r="A145" s="5">
        <f t="shared" si="14"/>
        <v>1430</v>
      </c>
      <c r="B145" s="2">
        <f t="shared" si="15"/>
        <v>5668.5999999999995</v>
      </c>
    </row>
    <row r="146" spans="1:2" x14ac:dyDescent="0.25">
      <c r="A146" s="5">
        <f t="shared" si="14"/>
        <v>1440</v>
      </c>
      <c r="B146" s="2">
        <f t="shared" si="15"/>
        <v>5707.7999999999993</v>
      </c>
    </row>
    <row r="147" spans="1:2" x14ac:dyDescent="0.25">
      <c r="A147" s="5">
        <f t="shared" si="14"/>
        <v>1450</v>
      </c>
      <c r="B147" s="2">
        <f t="shared" si="15"/>
        <v>5746.9999999999991</v>
      </c>
    </row>
    <row r="148" spans="1:2" x14ac:dyDescent="0.25">
      <c r="A148" s="5">
        <f t="shared" si="14"/>
        <v>1460</v>
      </c>
      <c r="B148" s="2">
        <f t="shared" si="15"/>
        <v>5786.1999999999989</v>
      </c>
    </row>
    <row r="149" spans="1:2" x14ac:dyDescent="0.25">
      <c r="A149" s="5">
        <f t="shared" si="14"/>
        <v>1470</v>
      </c>
      <c r="B149" s="2">
        <f t="shared" si="15"/>
        <v>5825.3999999999987</v>
      </c>
    </row>
    <row r="150" spans="1:2" x14ac:dyDescent="0.25">
      <c r="A150" s="5">
        <f t="shared" si="14"/>
        <v>1480</v>
      </c>
      <c r="B150" s="2">
        <f t="shared" si="15"/>
        <v>5864.5999999999985</v>
      </c>
    </row>
    <row r="151" spans="1:2" x14ac:dyDescent="0.25">
      <c r="A151" s="5">
        <f t="shared" si="14"/>
        <v>1490</v>
      </c>
      <c r="B151" s="2">
        <f t="shared" si="15"/>
        <v>5903.7999999999984</v>
      </c>
    </row>
    <row r="152" spans="1:2" x14ac:dyDescent="0.25">
      <c r="A152" s="5">
        <f t="shared" si="14"/>
        <v>1500</v>
      </c>
      <c r="B152" s="4">
        <v>5943</v>
      </c>
    </row>
    <row r="153" spans="1:2" x14ac:dyDescent="0.25">
      <c r="A153" s="5">
        <f t="shared" si="14"/>
        <v>1510</v>
      </c>
      <c r="B153" s="2">
        <f t="shared" ref="B153:B161" si="16">((B$162-B$152)/10+B152)</f>
        <v>5982.2</v>
      </c>
    </row>
    <row r="154" spans="1:2" x14ac:dyDescent="0.25">
      <c r="A154" s="5">
        <f t="shared" si="14"/>
        <v>1520</v>
      </c>
      <c r="B154" s="2">
        <f t="shared" si="16"/>
        <v>6021.4</v>
      </c>
    </row>
    <row r="155" spans="1:2" x14ac:dyDescent="0.25">
      <c r="A155" s="5">
        <f t="shared" si="14"/>
        <v>1530</v>
      </c>
      <c r="B155" s="2">
        <f t="shared" si="16"/>
        <v>6060.5999999999995</v>
      </c>
    </row>
    <row r="156" spans="1:2" x14ac:dyDescent="0.25">
      <c r="A156" s="5">
        <f t="shared" si="14"/>
        <v>1540</v>
      </c>
      <c r="B156" s="2">
        <f t="shared" si="16"/>
        <v>6099.7999999999993</v>
      </c>
    </row>
    <row r="157" spans="1:2" x14ac:dyDescent="0.25">
      <c r="A157" s="5">
        <f t="shared" si="14"/>
        <v>1550</v>
      </c>
      <c r="B157" s="2">
        <f t="shared" si="16"/>
        <v>6138.9999999999991</v>
      </c>
    </row>
    <row r="158" spans="1:2" x14ac:dyDescent="0.25">
      <c r="A158" s="5">
        <f t="shared" si="14"/>
        <v>1560</v>
      </c>
      <c r="B158" s="2">
        <f t="shared" si="16"/>
        <v>6178.1999999999989</v>
      </c>
    </row>
    <row r="159" spans="1:2" x14ac:dyDescent="0.25">
      <c r="A159" s="5">
        <f t="shared" si="14"/>
        <v>1570</v>
      </c>
      <c r="B159" s="2">
        <f t="shared" si="16"/>
        <v>6217.3999999999987</v>
      </c>
    </row>
    <row r="160" spans="1:2" x14ac:dyDescent="0.25">
      <c r="A160" s="5">
        <f t="shared" si="14"/>
        <v>1580</v>
      </c>
      <c r="B160" s="2">
        <f t="shared" si="16"/>
        <v>6256.5999999999985</v>
      </c>
    </row>
    <row r="161" spans="1:2" x14ac:dyDescent="0.25">
      <c r="A161" s="5">
        <f t="shared" si="14"/>
        <v>1590</v>
      </c>
      <c r="B161" s="2">
        <f t="shared" si="16"/>
        <v>6295.7999999999984</v>
      </c>
    </row>
    <row r="162" spans="1:2" x14ac:dyDescent="0.25">
      <c r="A162" s="5">
        <f t="shared" si="14"/>
        <v>1600</v>
      </c>
      <c r="B162" s="4">
        <v>6335</v>
      </c>
    </row>
    <row r="163" spans="1:2" x14ac:dyDescent="0.25">
      <c r="A163" s="5">
        <f t="shared" si="14"/>
        <v>1610</v>
      </c>
      <c r="B163" s="2">
        <f t="shared" ref="B163:B171" si="17">((B$172-B$162)/10+B162)</f>
        <v>6374.5</v>
      </c>
    </row>
    <row r="164" spans="1:2" x14ac:dyDescent="0.25">
      <c r="A164" s="5">
        <f t="shared" si="14"/>
        <v>1620</v>
      </c>
      <c r="B164" s="2">
        <f t="shared" si="17"/>
        <v>6414</v>
      </c>
    </row>
    <row r="165" spans="1:2" x14ac:dyDescent="0.25">
      <c r="A165" s="5">
        <f t="shared" si="14"/>
        <v>1630</v>
      </c>
      <c r="B165" s="2">
        <f t="shared" si="17"/>
        <v>6453.5</v>
      </c>
    </row>
    <row r="166" spans="1:2" x14ac:dyDescent="0.25">
      <c r="A166" s="5">
        <f t="shared" si="14"/>
        <v>1640</v>
      </c>
      <c r="B166" s="2">
        <f t="shared" si="17"/>
        <v>6493</v>
      </c>
    </row>
    <row r="167" spans="1:2" x14ac:dyDescent="0.25">
      <c r="A167" s="5">
        <f t="shared" si="14"/>
        <v>1650</v>
      </c>
      <c r="B167" s="2">
        <f t="shared" si="17"/>
        <v>6532.5</v>
      </c>
    </row>
    <row r="168" spans="1:2" x14ac:dyDescent="0.25">
      <c r="A168" s="5">
        <f t="shared" si="14"/>
        <v>1660</v>
      </c>
      <c r="B168" s="2">
        <f t="shared" si="17"/>
        <v>6572</v>
      </c>
    </row>
    <row r="169" spans="1:2" x14ac:dyDescent="0.25">
      <c r="A169" s="5">
        <f t="shared" si="14"/>
        <v>1670</v>
      </c>
      <c r="B169" s="2">
        <f t="shared" si="17"/>
        <v>6611.5</v>
      </c>
    </row>
    <row r="170" spans="1:2" x14ac:dyDescent="0.25">
      <c r="A170" s="5">
        <f t="shared" si="14"/>
        <v>1680</v>
      </c>
      <c r="B170" s="2">
        <f t="shared" si="17"/>
        <v>6651</v>
      </c>
    </row>
    <row r="171" spans="1:2" x14ac:dyDescent="0.25">
      <c r="A171" s="5">
        <f t="shared" ref="A171:A202" si="18">A170+10</f>
        <v>1690</v>
      </c>
      <c r="B171" s="2">
        <f t="shared" si="17"/>
        <v>6690.5</v>
      </c>
    </row>
    <row r="172" spans="1:2" x14ac:dyDescent="0.25">
      <c r="A172" s="5">
        <f t="shared" si="18"/>
        <v>1700</v>
      </c>
      <c r="B172" s="4">
        <v>6730</v>
      </c>
    </row>
    <row r="173" spans="1:2" x14ac:dyDescent="0.25">
      <c r="A173" s="5">
        <f t="shared" si="18"/>
        <v>1710</v>
      </c>
      <c r="B173" s="2">
        <f t="shared" ref="B173:B181" si="19">((B$182-B$172)/10+B172)</f>
        <v>6769.5</v>
      </c>
    </row>
    <row r="174" spans="1:2" x14ac:dyDescent="0.25">
      <c r="A174" s="5">
        <f t="shared" si="18"/>
        <v>1720</v>
      </c>
      <c r="B174" s="2">
        <f t="shared" si="19"/>
        <v>6809</v>
      </c>
    </row>
    <row r="175" spans="1:2" x14ac:dyDescent="0.25">
      <c r="A175" s="5">
        <f t="shared" si="18"/>
        <v>1730</v>
      </c>
      <c r="B175" s="2">
        <f t="shared" si="19"/>
        <v>6848.5</v>
      </c>
    </row>
    <row r="176" spans="1:2" x14ac:dyDescent="0.25">
      <c r="A176" s="5">
        <f t="shared" si="18"/>
        <v>1740</v>
      </c>
      <c r="B176" s="2">
        <f t="shared" si="19"/>
        <v>6888</v>
      </c>
    </row>
    <row r="177" spans="1:2" x14ac:dyDescent="0.25">
      <c r="A177" s="5">
        <f t="shared" si="18"/>
        <v>1750</v>
      </c>
      <c r="B177" s="2">
        <f t="shared" si="19"/>
        <v>6927.5</v>
      </c>
    </row>
    <row r="178" spans="1:2" x14ac:dyDescent="0.25">
      <c r="A178" s="5">
        <f t="shared" si="18"/>
        <v>1760</v>
      </c>
      <c r="B178" s="2">
        <f t="shared" si="19"/>
        <v>6967</v>
      </c>
    </row>
    <row r="179" spans="1:2" x14ac:dyDescent="0.25">
      <c r="A179" s="5">
        <f t="shared" si="18"/>
        <v>1770</v>
      </c>
      <c r="B179" s="2">
        <f t="shared" si="19"/>
        <v>7006.5</v>
      </c>
    </row>
    <row r="180" spans="1:2" x14ac:dyDescent="0.25">
      <c r="A180" s="5">
        <f t="shared" si="18"/>
        <v>1780</v>
      </c>
      <c r="B180" s="2">
        <f t="shared" si="19"/>
        <v>7046</v>
      </c>
    </row>
    <row r="181" spans="1:2" x14ac:dyDescent="0.25">
      <c r="A181" s="5">
        <f t="shared" si="18"/>
        <v>1790</v>
      </c>
      <c r="B181" s="2">
        <f t="shared" si="19"/>
        <v>7085.5</v>
      </c>
    </row>
    <row r="182" spans="1:2" x14ac:dyDescent="0.25">
      <c r="A182" s="5">
        <f t="shared" si="18"/>
        <v>1800</v>
      </c>
      <c r="B182" s="4">
        <v>7125</v>
      </c>
    </row>
    <row r="183" spans="1:2" x14ac:dyDescent="0.25">
      <c r="A183" s="5">
        <f t="shared" si="18"/>
        <v>1810</v>
      </c>
      <c r="B183" s="2">
        <f t="shared" ref="B183:B191" si="20">((B$192-B$182)/10+B182)</f>
        <v>7164.8</v>
      </c>
    </row>
    <row r="184" spans="1:2" x14ac:dyDescent="0.25">
      <c r="A184" s="5">
        <f t="shared" si="18"/>
        <v>1820</v>
      </c>
      <c r="B184" s="2">
        <f t="shared" si="20"/>
        <v>7204.6</v>
      </c>
    </row>
    <row r="185" spans="1:2" x14ac:dyDescent="0.25">
      <c r="A185" s="5">
        <f t="shared" si="18"/>
        <v>1830</v>
      </c>
      <c r="B185" s="2">
        <f t="shared" si="20"/>
        <v>7244.4000000000005</v>
      </c>
    </row>
    <row r="186" spans="1:2" x14ac:dyDescent="0.25">
      <c r="A186" s="5">
        <f t="shared" si="18"/>
        <v>1840</v>
      </c>
      <c r="B186" s="2">
        <f t="shared" si="20"/>
        <v>7284.2000000000007</v>
      </c>
    </row>
    <row r="187" spans="1:2" x14ac:dyDescent="0.25">
      <c r="A187" s="5">
        <f t="shared" si="18"/>
        <v>1850</v>
      </c>
      <c r="B187" s="2">
        <f t="shared" si="20"/>
        <v>7324.0000000000009</v>
      </c>
    </row>
    <row r="188" spans="1:2" x14ac:dyDescent="0.25">
      <c r="A188" s="5">
        <f t="shared" si="18"/>
        <v>1860</v>
      </c>
      <c r="B188" s="2">
        <f t="shared" si="20"/>
        <v>7363.8000000000011</v>
      </c>
    </row>
    <row r="189" spans="1:2" x14ac:dyDescent="0.25">
      <c r="A189" s="5">
        <f t="shared" si="18"/>
        <v>1870</v>
      </c>
      <c r="B189" s="2">
        <f t="shared" si="20"/>
        <v>7403.6000000000013</v>
      </c>
    </row>
    <row r="190" spans="1:2" x14ac:dyDescent="0.25">
      <c r="A190" s="5">
        <f t="shared" si="18"/>
        <v>1880</v>
      </c>
      <c r="B190" s="2">
        <f t="shared" si="20"/>
        <v>7443.4000000000015</v>
      </c>
    </row>
    <row r="191" spans="1:2" x14ac:dyDescent="0.25">
      <c r="A191" s="5">
        <f t="shared" si="18"/>
        <v>1890</v>
      </c>
      <c r="B191" s="2">
        <f t="shared" si="20"/>
        <v>7483.2000000000016</v>
      </c>
    </row>
    <row r="192" spans="1:2" x14ac:dyDescent="0.25">
      <c r="A192" s="5">
        <f t="shared" si="18"/>
        <v>1900</v>
      </c>
      <c r="B192" s="4">
        <v>7523</v>
      </c>
    </row>
    <row r="193" spans="1:6" x14ac:dyDescent="0.25">
      <c r="A193" s="5">
        <f t="shared" si="18"/>
        <v>1910</v>
      </c>
      <c r="B193" s="2">
        <f t="shared" ref="B193:B201" si="21">((B$202-B$192)/10+B192)</f>
        <v>7562.8</v>
      </c>
    </row>
    <row r="194" spans="1:6" x14ac:dyDescent="0.25">
      <c r="A194" s="5">
        <f t="shared" si="18"/>
        <v>1920</v>
      </c>
      <c r="B194" s="2">
        <f t="shared" si="21"/>
        <v>7602.6</v>
      </c>
    </row>
    <row r="195" spans="1:6" x14ac:dyDescent="0.25">
      <c r="A195" s="5">
        <f t="shared" si="18"/>
        <v>1930</v>
      </c>
      <c r="B195" s="2">
        <f t="shared" si="21"/>
        <v>7642.4000000000005</v>
      </c>
    </row>
    <row r="196" spans="1:6" x14ac:dyDescent="0.25">
      <c r="A196" s="5">
        <f t="shared" si="18"/>
        <v>1940</v>
      </c>
      <c r="B196" s="2">
        <f t="shared" si="21"/>
        <v>7682.2000000000007</v>
      </c>
    </row>
    <row r="197" spans="1:6" x14ac:dyDescent="0.25">
      <c r="A197" s="5">
        <f t="shared" si="18"/>
        <v>1950</v>
      </c>
      <c r="B197" s="2">
        <f t="shared" si="21"/>
        <v>7722.0000000000009</v>
      </c>
    </row>
    <row r="198" spans="1:6" x14ac:dyDescent="0.25">
      <c r="A198" s="5">
        <f t="shared" si="18"/>
        <v>1960</v>
      </c>
      <c r="B198" s="2">
        <f t="shared" si="21"/>
        <v>7761.8000000000011</v>
      </c>
    </row>
    <row r="199" spans="1:6" x14ac:dyDescent="0.25">
      <c r="A199" s="5">
        <f t="shared" si="18"/>
        <v>1970</v>
      </c>
      <c r="B199" s="2">
        <f t="shared" si="21"/>
        <v>7801.6000000000013</v>
      </c>
    </row>
    <row r="200" spans="1:6" x14ac:dyDescent="0.25">
      <c r="A200" s="5">
        <f t="shared" si="18"/>
        <v>1980</v>
      </c>
      <c r="B200" s="2">
        <f t="shared" si="21"/>
        <v>7841.4000000000015</v>
      </c>
    </row>
    <row r="201" spans="1:6" x14ac:dyDescent="0.25">
      <c r="A201" s="5">
        <f t="shared" si="18"/>
        <v>1990</v>
      </c>
      <c r="B201" s="2">
        <f t="shared" si="21"/>
        <v>7881.2000000000016</v>
      </c>
    </row>
    <row r="202" spans="1:6" x14ac:dyDescent="0.25">
      <c r="A202" s="5">
        <f t="shared" si="18"/>
        <v>2000</v>
      </c>
      <c r="B202" s="4">
        <v>7921</v>
      </c>
    </row>
    <row r="204" spans="1:6" x14ac:dyDescent="0.25">
      <c r="E204" s="3"/>
      <c r="F204" s="3"/>
    </row>
    <row r="205" spans="1:6" x14ac:dyDescent="0.25">
      <c r="E205" s="3"/>
      <c r="F205" s="3"/>
    </row>
    <row r="206" spans="1:6" x14ac:dyDescent="0.25">
      <c r="E206" s="3"/>
      <c r="F206" s="3"/>
    </row>
    <row r="207" spans="1:6" x14ac:dyDescent="0.25">
      <c r="E207" s="3"/>
      <c r="F207" s="3"/>
    </row>
    <row r="208" spans="1:6" x14ac:dyDescent="0.25">
      <c r="E208" s="3"/>
      <c r="F208" s="3"/>
    </row>
    <row r="209" spans="5:6" x14ac:dyDescent="0.25">
      <c r="E209" s="3"/>
      <c r="F209" s="3"/>
    </row>
    <row r="210" spans="5:6" x14ac:dyDescent="0.25">
      <c r="E210" s="3"/>
      <c r="F210" s="3"/>
    </row>
    <row r="211" spans="5:6" x14ac:dyDescent="0.25">
      <c r="E211" s="3"/>
      <c r="F211" s="3"/>
    </row>
    <row r="212" spans="5:6" x14ac:dyDescent="0.25">
      <c r="E212" s="3"/>
      <c r="F212" s="3"/>
    </row>
    <row r="213" spans="5:6" x14ac:dyDescent="0.25">
      <c r="E213" s="3"/>
      <c r="F213" s="3"/>
    </row>
    <row r="214" spans="5:6" x14ac:dyDescent="0.25">
      <c r="E214" s="3"/>
      <c r="F214" s="3"/>
    </row>
    <row r="215" spans="5:6" x14ac:dyDescent="0.25">
      <c r="E215" s="3"/>
      <c r="F215" s="3"/>
    </row>
    <row r="216" spans="5:6" x14ac:dyDescent="0.25">
      <c r="E216" s="3"/>
      <c r="F216" s="3"/>
    </row>
    <row r="217" spans="5:6" x14ac:dyDescent="0.25">
      <c r="E217" s="3"/>
      <c r="F217" s="3"/>
    </row>
    <row r="218" spans="5:6" x14ac:dyDescent="0.25">
      <c r="E218" s="3"/>
      <c r="F218" s="3"/>
    </row>
    <row r="219" spans="5:6" x14ac:dyDescent="0.25">
      <c r="E219" s="3"/>
      <c r="F219" s="3"/>
    </row>
    <row r="220" spans="5:6" x14ac:dyDescent="0.25">
      <c r="E220" s="3"/>
      <c r="F220" s="3"/>
    </row>
    <row r="221" spans="5:6" x14ac:dyDescent="0.25">
      <c r="E221" s="3"/>
      <c r="F221" s="3"/>
    </row>
    <row r="222" spans="5:6" x14ac:dyDescent="0.25">
      <c r="E222" s="3"/>
      <c r="F222" s="3"/>
    </row>
    <row r="223" spans="5:6" x14ac:dyDescent="0.25">
      <c r="E223" s="3"/>
      <c r="F223" s="3"/>
    </row>
    <row r="224" spans="5:6" x14ac:dyDescent="0.25">
      <c r="E224" s="3"/>
      <c r="F224" s="3"/>
    </row>
    <row r="225" spans="5:6" x14ac:dyDescent="0.25">
      <c r="E225" s="3"/>
      <c r="F225" s="3"/>
    </row>
    <row r="226" spans="5:6" x14ac:dyDescent="0.25">
      <c r="E226" s="3"/>
      <c r="F226" s="3"/>
    </row>
    <row r="227" spans="5:6" x14ac:dyDescent="0.25">
      <c r="E227" s="3"/>
      <c r="F227" s="3"/>
    </row>
    <row r="228" spans="5:6" x14ac:dyDescent="0.25">
      <c r="E228" s="3"/>
      <c r="F228" s="3"/>
    </row>
    <row r="229" spans="5:6" x14ac:dyDescent="0.25">
      <c r="E229" s="3"/>
      <c r="F229" s="3"/>
    </row>
    <row r="230" spans="5:6" x14ac:dyDescent="0.25">
      <c r="E230" s="3"/>
      <c r="F230" s="3"/>
    </row>
    <row r="231" spans="5:6" x14ac:dyDescent="0.25">
      <c r="E231" s="3"/>
      <c r="F231" s="3"/>
    </row>
    <row r="232" spans="5:6" x14ac:dyDescent="0.25">
      <c r="E232" s="3"/>
      <c r="F232" s="3"/>
    </row>
    <row r="233" spans="5:6" x14ac:dyDescent="0.25">
      <c r="E233" s="3"/>
      <c r="F233" s="3"/>
    </row>
    <row r="234" spans="5:6" x14ac:dyDescent="0.25">
      <c r="E234" s="3"/>
      <c r="F234" s="3"/>
    </row>
    <row r="235" spans="5:6" x14ac:dyDescent="0.25">
      <c r="E235" s="3"/>
      <c r="F235" s="3"/>
    </row>
    <row r="236" spans="5:6" x14ac:dyDescent="0.25">
      <c r="E236" s="3"/>
      <c r="F236" s="3"/>
    </row>
    <row r="237" spans="5:6" x14ac:dyDescent="0.25">
      <c r="E237" s="3"/>
      <c r="F237" s="3"/>
    </row>
    <row r="238" spans="5:6" x14ac:dyDescent="0.25">
      <c r="E238" s="3"/>
      <c r="F238" s="3"/>
    </row>
    <row r="239" spans="5:6" x14ac:dyDescent="0.25">
      <c r="E239" s="3"/>
      <c r="F239" s="3"/>
    </row>
    <row r="240" spans="5:6" x14ac:dyDescent="0.25">
      <c r="E240" s="3"/>
      <c r="F240" s="3"/>
    </row>
    <row r="241" spans="5:6" x14ac:dyDescent="0.25">
      <c r="E241" s="3"/>
      <c r="F241" s="3"/>
    </row>
    <row r="242" spans="5:6" x14ac:dyDescent="0.25">
      <c r="E242" s="3"/>
      <c r="F242" s="3"/>
    </row>
    <row r="243" spans="5:6" x14ac:dyDescent="0.25">
      <c r="E243" s="3"/>
      <c r="F243" s="3"/>
    </row>
    <row r="244" spans="5:6" x14ac:dyDescent="0.25">
      <c r="E244" s="3"/>
      <c r="F244" s="3"/>
    </row>
    <row r="245" spans="5:6" x14ac:dyDescent="0.25">
      <c r="E245" s="3"/>
      <c r="F245" s="3"/>
    </row>
    <row r="246" spans="5:6" x14ac:dyDescent="0.25">
      <c r="E246" s="3"/>
      <c r="F246" s="3"/>
    </row>
    <row r="247" spans="5:6" x14ac:dyDescent="0.25">
      <c r="E247" s="3"/>
      <c r="F247" s="3"/>
    </row>
    <row r="248" spans="5:6" x14ac:dyDescent="0.25">
      <c r="E248" s="3"/>
      <c r="F248" s="3"/>
    </row>
    <row r="249" spans="5:6" x14ac:dyDescent="0.25">
      <c r="E249" s="3"/>
      <c r="F249" s="3"/>
    </row>
    <row r="250" spans="5:6" x14ac:dyDescent="0.25">
      <c r="E250" s="3"/>
      <c r="F250" s="3"/>
    </row>
    <row r="251" spans="5:6" x14ac:dyDescent="0.25">
      <c r="E251" s="3"/>
      <c r="F251" s="3"/>
    </row>
    <row r="252" spans="5:6" x14ac:dyDescent="0.25">
      <c r="E252" s="3"/>
      <c r="F252" s="3"/>
    </row>
    <row r="253" spans="5:6" x14ac:dyDescent="0.25">
      <c r="E253" s="3"/>
      <c r="F253" s="3"/>
    </row>
    <row r="254" spans="5:6" x14ac:dyDescent="0.25">
      <c r="E254" s="3"/>
      <c r="F254" s="3"/>
    </row>
    <row r="255" spans="5:6" x14ac:dyDescent="0.25">
      <c r="E255" s="3"/>
      <c r="F255" s="3"/>
    </row>
    <row r="256" spans="5:6" x14ac:dyDescent="0.25">
      <c r="E256" s="3"/>
      <c r="F256" s="3"/>
    </row>
    <row r="257" spans="4:6" x14ac:dyDescent="0.25">
      <c r="E257" s="3"/>
      <c r="F257" s="3"/>
    </row>
    <row r="258" spans="4:6" x14ac:dyDescent="0.25">
      <c r="E258" s="3"/>
      <c r="F258" s="3"/>
    </row>
    <row r="259" spans="4:6" x14ac:dyDescent="0.25">
      <c r="E259" s="3"/>
      <c r="F259" s="3"/>
    </row>
    <row r="260" spans="4:6" x14ac:dyDescent="0.25">
      <c r="E260" s="3"/>
      <c r="F260" s="3"/>
    </row>
    <row r="261" spans="4:6" x14ac:dyDescent="0.25">
      <c r="E261" s="3"/>
      <c r="F261" s="3"/>
    </row>
    <row r="262" spans="4:6" x14ac:dyDescent="0.25">
      <c r="E262" s="3"/>
      <c r="F262" s="3"/>
    </row>
    <row r="263" spans="4:6" x14ac:dyDescent="0.25">
      <c r="E263" s="3"/>
      <c r="F263" s="3"/>
    </row>
    <row r="264" spans="4:6" x14ac:dyDescent="0.25">
      <c r="E264" s="3"/>
      <c r="F264" s="3"/>
    </row>
    <row r="265" spans="4:6" x14ac:dyDescent="0.25">
      <c r="E265" s="3"/>
      <c r="F265" s="3"/>
    </row>
    <row r="266" spans="4:6" x14ac:dyDescent="0.25">
      <c r="E266" s="3"/>
      <c r="F266" s="3"/>
    </row>
    <row r="267" spans="4:6" x14ac:dyDescent="0.25">
      <c r="E267" s="3"/>
      <c r="F267" s="3"/>
    </row>
    <row r="268" spans="4:6" x14ac:dyDescent="0.25">
      <c r="E268" s="3"/>
      <c r="F268" s="3"/>
    </row>
    <row r="269" spans="4:6" x14ac:dyDescent="0.25">
      <c r="E269" s="3"/>
      <c r="F269" s="3"/>
    </row>
    <row r="270" spans="4:6" x14ac:dyDescent="0.25">
      <c r="E270" s="3"/>
      <c r="F270" s="3"/>
    </row>
    <row r="271" spans="4:6" x14ac:dyDescent="0.25"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E290" s="3"/>
      <c r="F290" s="3"/>
    </row>
    <row r="291" spans="4:6" x14ac:dyDescent="0.25">
      <c r="E291" s="3"/>
      <c r="F291" s="3"/>
    </row>
    <row r="292" spans="4:6" x14ac:dyDescent="0.25">
      <c r="E292" s="3"/>
      <c r="F292" s="3"/>
    </row>
    <row r="293" spans="4:6" x14ac:dyDescent="0.25">
      <c r="E293" s="3"/>
      <c r="F293" s="3"/>
    </row>
    <row r="294" spans="4:6" x14ac:dyDescent="0.25">
      <c r="E294" s="3"/>
      <c r="F294" s="3"/>
    </row>
    <row r="295" spans="4:6" x14ac:dyDescent="0.25">
      <c r="E295" s="3"/>
      <c r="F295" s="3"/>
    </row>
    <row r="296" spans="4:6" x14ac:dyDescent="0.25">
      <c r="E296" s="3"/>
      <c r="F296" s="3"/>
    </row>
    <row r="297" spans="4:6" x14ac:dyDescent="0.25">
      <c r="E297" s="3"/>
      <c r="F297" s="3"/>
    </row>
    <row r="298" spans="4:6" x14ac:dyDescent="0.25">
      <c r="E298" s="3"/>
      <c r="F298" s="3"/>
    </row>
    <row r="299" spans="4:6" x14ac:dyDescent="0.25">
      <c r="E299" s="3"/>
      <c r="F299" s="3"/>
    </row>
    <row r="300" spans="4:6" x14ac:dyDescent="0.25">
      <c r="E300" s="3"/>
      <c r="F300" s="3"/>
    </row>
    <row r="301" spans="4:6" x14ac:dyDescent="0.25">
      <c r="E301" s="3"/>
      <c r="F301" s="3"/>
    </row>
    <row r="302" spans="4:6" x14ac:dyDescent="0.25">
      <c r="E302" s="3"/>
      <c r="F302" s="3"/>
    </row>
    <row r="303" spans="4:6" x14ac:dyDescent="0.25">
      <c r="E303" s="3"/>
      <c r="F303" s="3"/>
    </row>
    <row r="304" spans="4:6" x14ac:dyDescent="0.25">
      <c r="E304" s="3"/>
      <c r="F304" s="3"/>
    </row>
    <row r="305" spans="5:6" x14ac:dyDescent="0.25">
      <c r="E305" s="3"/>
      <c r="F305" s="3"/>
    </row>
    <row r="306" spans="5:6" x14ac:dyDescent="0.25">
      <c r="E306" s="3"/>
      <c r="F306" s="3"/>
    </row>
    <row r="307" spans="5:6" x14ac:dyDescent="0.25">
      <c r="E307" s="3"/>
      <c r="F307" s="3"/>
    </row>
    <row r="308" spans="5:6" x14ac:dyDescent="0.25">
      <c r="E308" s="3"/>
      <c r="F308" s="3"/>
    </row>
    <row r="309" spans="5:6" x14ac:dyDescent="0.25">
      <c r="E309" s="3"/>
      <c r="F309" s="3"/>
    </row>
    <row r="310" spans="5:6" x14ac:dyDescent="0.25">
      <c r="E310" s="3"/>
      <c r="F310" s="3"/>
    </row>
    <row r="311" spans="5:6" x14ac:dyDescent="0.25">
      <c r="E311" s="3"/>
      <c r="F311" s="3"/>
    </row>
    <row r="312" spans="5:6" x14ac:dyDescent="0.25">
      <c r="E312" s="3"/>
      <c r="F312" s="3"/>
    </row>
    <row r="313" spans="5:6" x14ac:dyDescent="0.25">
      <c r="E313" s="3"/>
      <c r="F313" s="3"/>
    </row>
    <row r="314" spans="5:6" x14ac:dyDescent="0.25">
      <c r="E314" s="3"/>
      <c r="F314" s="3"/>
    </row>
    <row r="315" spans="5:6" x14ac:dyDescent="0.25">
      <c r="E315" s="3"/>
      <c r="F315" s="3"/>
    </row>
    <row r="316" spans="5:6" x14ac:dyDescent="0.25">
      <c r="E316" s="3"/>
      <c r="F316" s="3"/>
    </row>
    <row r="317" spans="5:6" x14ac:dyDescent="0.25">
      <c r="E317" s="3"/>
      <c r="F317" s="3"/>
    </row>
    <row r="318" spans="5:6" x14ac:dyDescent="0.25">
      <c r="E318" s="3"/>
      <c r="F318" s="3"/>
    </row>
    <row r="319" spans="5:6" x14ac:dyDescent="0.25">
      <c r="E319" s="3"/>
      <c r="F319" s="3"/>
    </row>
    <row r="320" spans="5:6" x14ac:dyDescent="0.25">
      <c r="E320" s="3"/>
      <c r="F320" s="3"/>
    </row>
    <row r="321" spans="5:6" x14ac:dyDescent="0.25">
      <c r="E321" s="3"/>
      <c r="F321" s="3"/>
    </row>
    <row r="322" spans="5:6" x14ac:dyDescent="0.25">
      <c r="E322" s="3"/>
      <c r="F322" s="3"/>
    </row>
    <row r="323" spans="5:6" x14ac:dyDescent="0.25">
      <c r="E323" s="3"/>
      <c r="F323" s="3"/>
    </row>
    <row r="324" spans="5:6" x14ac:dyDescent="0.25">
      <c r="E324" s="3"/>
      <c r="F324" s="3"/>
    </row>
    <row r="325" spans="5:6" x14ac:dyDescent="0.25">
      <c r="E325" s="3"/>
      <c r="F325" s="3"/>
    </row>
    <row r="326" spans="5:6" x14ac:dyDescent="0.25">
      <c r="E326" s="3"/>
      <c r="F326" s="3"/>
    </row>
    <row r="327" spans="5:6" x14ac:dyDescent="0.25">
      <c r="E327" s="3"/>
      <c r="F327" s="3"/>
    </row>
    <row r="328" spans="5:6" x14ac:dyDescent="0.25">
      <c r="E328" s="3"/>
      <c r="F328" s="3"/>
    </row>
    <row r="329" spans="5:6" x14ac:dyDescent="0.25">
      <c r="E329" s="3"/>
      <c r="F329" s="3"/>
    </row>
    <row r="330" spans="5:6" x14ac:dyDescent="0.25">
      <c r="E330" s="3"/>
      <c r="F330" s="3"/>
    </row>
    <row r="331" spans="5:6" x14ac:dyDescent="0.25">
      <c r="E331" s="3"/>
      <c r="F331" s="3"/>
    </row>
    <row r="332" spans="5:6" x14ac:dyDescent="0.25">
      <c r="E332" s="3"/>
      <c r="F332" s="3"/>
    </row>
    <row r="333" spans="5:6" x14ac:dyDescent="0.25">
      <c r="E333" s="3"/>
      <c r="F333" s="3"/>
    </row>
    <row r="334" spans="5:6" x14ac:dyDescent="0.25">
      <c r="E334" s="3"/>
      <c r="F334" s="3"/>
    </row>
    <row r="335" spans="5:6" x14ac:dyDescent="0.25">
      <c r="E335" s="3"/>
      <c r="F335" s="3"/>
    </row>
    <row r="336" spans="5:6" x14ac:dyDescent="0.25">
      <c r="E336" s="3"/>
      <c r="F336" s="3"/>
    </row>
    <row r="337" spans="5:6" x14ac:dyDescent="0.25">
      <c r="E337" s="3"/>
      <c r="F337" s="3"/>
    </row>
    <row r="338" spans="5:6" x14ac:dyDescent="0.25">
      <c r="E338" s="3"/>
      <c r="F338" s="3"/>
    </row>
    <row r="339" spans="5:6" x14ac:dyDescent="0.25">
      <c r="E339" s="3"/>
      <c r="F339" s="3"/>
    </row>
    <row r="340" spans="5:6" x14ac:dyDescent="0.25">
      <c r="E340" s="3"/>
      <c r="F340" s="3"/>
    </row>
    <row r="341" spans="5:6" x14ac:dyDescent="0.25">
      <c r="E341" s="3"/>
      <c r="F341" s="3"/>
    </row>
    <row r="342" spans="5:6" x14ac:dyDescent="0.25">
      <c r="E342" s="3"/>
      <c r="F342" s="3"/>
    </row>
    <row r="343" spans="5:6" x14ac:dyDescent="0.25">
      <c r="E343" s="3"/>
      <c r="F343" s="3"/>
    </row>
    <row r="344" spans="5:6" x14ac:dyDescent="0.25">
      <c r="E344" s="3"/>
      <c r="F344" s="3"/>
    </row>
    <row r="345" spans="5:6" x14ac:dyDescent="0.25">
      <c r="E345" s="3"/>
      <c r="F345" s="3"/>
    </row>
    <row r="346" spans="5:6" x14ac:dyDescent="0.25">
      <c r="E346" s="3"/>
      <c r="F346" s="3"/>
    </row>
    <row r="347" spans="5:6" x14ac:dyDescent="0.25">
      <c r="E347" s="3"/>
      <c r="F347" s="3"/>
    </row>
    <row r="348" spans="5:6" x14ac:dyDescent="0.25">
      <c r="E348" s="3"/>
      <c r="F348" s="3"/>
    </row>
    <row r="349" spans="5:6" x14ac:dyDescent="0.25">
      <c r="E349" s="3"/>
      <c r="F349" s="3"/>
    </row>
    <row r="350" spans="5:6" x14ac:dyDescent="0.25">
      <c r="E350" s="3"/>
      <c r="F350" s="3"/>
    </row>
    <row r="351" spans="5:6" x14ac:dyDescent="0.25">
      <c r="E351" s="3"/>
      <c r="F351" s="3"/>
    </row>
    <row r="352" spans="5:6" x14ac:dyDescent="0.25">
      <c r="E352" s="3"/>
      <c r="F352" s="3"/>
    </row>
    <row r="353" spans="5:6" x14ac:dyDescent="0.25">
      <c r="E353" s="3"/>
      <c r="F353" s="3"/>
    </row>
    <row r="354" spans="5:6" x14ac:dyDescent="0.25">
      <c r="E354" s="3"/>
      <c r="F354" s="3"/>
    </row>
    <row r="355" spans="5:6" x14ac:dyDescent="0.25">
      <c r="E355" s="3"/>
      <c r="F355" s="3"/>
    </row>
    <row r="356" spans="5:6" x14ac:dyDescent="0.25">
      <c r="E356" s="3"/>
      <c r="F356" s="3"/>
    </row>
    <row r="357" spans="5:6" x14ac:dyDescent="0.25">
      <c r="E357" s="3"/>
      <c r="F357" s="3"/>
    </row>
    <row r="358" spans="5:6" x14ac:dyDescent="0.25">
      <c r="E358" s="3"/>
      <c r="F358" s="3"/>
    </row>
    <row r="359" spans="5:6" x14ac:dyDescent="0.25">
      <c r="E359" s="3"/>
      <c r="F359" s="3"/>
    </row>
    <row r="360" spans="5:6" x14ac:dyDescent="0.25">
      <c r="E360" s="3"/>
      <c r="F360" s="3"/>
    </row>
    <row r="361" spans="5:6" x14ac:dyDescent="0.25">
      <c r="E361" s="3"/>
      <c r="F361" s="3"/>
    </row>
    <row r="362" spans="5:6" x14ac:dyDescent="0.25">
      <c r="E362" s="3"/>
      <c r="F362" s="3"/>
    </row>
    <row r="363" spans="5:6" x14ac:dyDescent="0.25">
      <c r="E363" s="3"/>
      <c r="F363" s="3"/>
    </row>
    <row r="364" spans="5:6" x14ac:dyDescent="0.25">
      <c r="E364" s="3"/>
      <c r="F364" s="3"/>
    </row>
    <row r="365" spans="5:6" x14ac:dyDescent="0.25">
      <c r="E365" s="3"/>
      <c r="F365" s="3"/>
    </row>
    <row r="366" spans="5:6" x14ac:dyDescent="0.25">
      <c r="E366" s="3"/>
      <c r="F366" s="3"/>
    </row>
    <row r="367" spans="5:6" x14ac:dyDescent="0.25">
      <c r="E367" s="3"/>
      <c r="F367" s="3"/>
    </row>
    <row r="368" spans="5:6" x14ac:dyDescent="0.25">
      <c r="E368" s="3"/>
      <c r="F368" s="3"/>
    </row>
    <row r="369" spans="5:6" x14ac:dyDescent="0.25">
      <c r="E369" s="3"/>
      <c r="F369" s="3"/>
    </row>
    <row r="370" spans="5:6" x14ac:dyDescent="0.25">
      <c r="E370" s="3"/>
      <c r="F370" s="3"/>
    </row>
    <row r="371" spans="5:6" x14ac:dyDescent="0.25">
      <c r="E371" s="3"/>
      <c r="F371" s="3"/>
    </row>
    <row r="372" spans="5:6" x14ac:dyDescent="0.25">
      <c r="E372" s="3"/>
      <c r="F372" s="3"/>
    </row>
    <row r="373" spans="5:6" x14ac:dyDescent="0.25">
      <c r="E373" s="3"/>
      <c r="F373" s="3"/>
    </row>
    <row r="374" spans="5:6" x14ac:dyDescent="0.25">
      <c r="E374" s="3"/>
      <c r="F374" s="3"/>
    </row>
    <row r="375" spans="5:6" x14ac:dyDescent="0.25">
      <c r="E375" s="3"/>
      <c r="F375" s="3"/>
    </row>
    <row r="376" spans="5:6" x14ac:dyDescent="0.25">
      <c r="E376" s="3"/>
      <c r="F376" s="3"/>
    </row>
    <row r="377" spans="5:6" x14ac:dyDescent="0.25">
      <c r="E377" s="3"/>
      <c r="F377" s="3"/>
    </row>
    <row r="378" spans="5:6" x14ac:dyDescent="0.25">
      <c r="E378" s="3"/>
      <c r="F378" s="3"/>
    </row>
    <row r="379" spans="5:6" x14ac:dyDescent="0.25">
      <c r="E379" s="3"/>
      <c r="F379" s="3"/>
    </row>
    <row r="380" spans="5:6" x14ac:dyDescent="0.25">
      <c r="E380" s="3"/>
      <c r="F380" s="3"/>
    </row>
    <row r="381" spans="5:6" x14ac:dyDescent="0.25">
      <c r="E381" s="3"/>
      <c r="F381" s="3"/>
    </row>
    <row r="382" spans="5:6" x14ac:dyDescent="0.25">
      <c r="E382" s="3"/>
      <c r="F382" s="3"/>
    </row>
    <row r="383" spans="5:6" x14ac:dyDescent="0.25">
      <c r="E383" s="3"/>
      <c r="F383" s="3"/>
    </row>
    <row r="384" spans="5:6" x14ac:dyDescent="0.25">
      <c r="E384" s="3"/>
      <c r="F384" s="3"/>
    </row>
    <row r="385" spans="5:6" x14ac:dyDescent="0.25">
      <c r="E385" s="3"/>
      <c r="F385" s="3"/>
    </row>
    <row r="386" spans="5:6" x14ac:dyDescent="0.25">
      <c r="E386" s="3"/>
      <c r="F386" s="3"/>
    </row>
    <row r="387" spans="5:6" x14ac:dyDescent="0.25">
      <c r="E387" s="3"/>
      <c r="F387" s="3"/>
    </row>
    <row r="388" spans="5:6" x14ac:dyDescent="0.25">
      <c r="E388" s="3"/>
      <c r="F388" s="3"/>
    </row>
    <row r="389" spans="5:6" x14ac:dyDescent="0.25">
      <c r="E389" s="3"/>
      <c r="F389" s="3"/>
    </row>
    <row r="390" spans="5:6" x14ac:dyDescent="0.25">
      <c r="E390" s="3"/>
      <c r="F390" s="3"/>
    </row>
    <row r="391" spans="5:6" x14ac:dyDescent="0.25">
      <c r="E391" s="3"/>
      <c r="F391" s="3"/>
    </row>
    <row r="392" spans="5:6" x14ac:dyDescent="0.25">
      <c r="E392" s="3"/>
      <c r="F392" s="3"/>
    </row>
    <row r="393" spans="5:6" x14ac:dyDescent="0.25">
      <c r="E393" s="3"/>
      <c r="F393" s="3"/>
    </row>
    <row r="394" spans="5:6" x14ac:dyDescent="0.25">
      <c r="E394" s="3"/>
      <c r="F394" s="3"/>
    </row>
    <row r="395" spans="5:6" x14ac:dyDescent="0.25">
      <c r="E395" s="3"/>
      <c r="F395" s="3"/>
    </row>
    <row r="396" spans="5:6" x14ac:dyDescent="0.25">
      <c r="E396" s="3"/>
      <c r="F396" s="3"/>
    </row>
    <row r="397" spans="5:6" x14ac:dyDescent="0.25">
      <c r="E397" s="3"/>
      <c r="F397" s="3"/>
    </row>
    <row r="398" spans="5:6" x14ac:dyDescent="0.25">
      <c r="E398" s="3"/>
      <c r="F398" s="3"/>
    </row>
    <row r="399" spans="5:6" x14ac:dyDescent="0.25">
      <c r="E399" s="3"/>
      <c r="F399" s="3"/>
    </row>
    <row r="400" spans="5:6" x14ac:dyDescent="0.25">
      <c r="E400" s="3"/>
      <c r="F400" s="3"/>
    </row>
    <row r="401" spans="5:6" x14ac:dyDescent="0.25">
      <c r="E401" s="3"/>
      <c r="F401" s="3"/>
    </row>
    <row r="402" spans="5:6" x14ac:dyDescent="0.25">
      <c r="E402" s="3"/>
      <c r="F402" s="3"/>
    </row>
    <row r="403" spans="5:6" x14ac:dyDescent="0.25">
      <c r="E403" s="3"/>
      <c r="F403" s="3"/>
    </row>
    <row r="404" spans="5:6" x14ac:dyDescent="0.25">
      <c r="E404" s="3"/>
      <c r="F404" s="3"/>
    </row>
    <row r="405" spans="5:6" x14ac:dyDescent="0.25">
      <c r="E405" s="3"/>
      <c r="F405" s="3"/>
    </row>
    <row r="406" spans="5:6" x14ac:dyDescent="0.25">
      <c r="E406" s="3"/>
      <c r="F406" s="3"/>
    </row>
    <row r="407" spans="5:6" x14ac:dyDescent="0.25">
      <c r="E407" s="3"/>
      <c r="F407" s="3"/>
    </row>
    <row r="408" spans="5:6" x14ac:dyDescent="0.25">
      <c r="E408" s="3"/>
      <c r="F408" s="3"/>
    </row>
    <row r="409" spans="5:6" x14ac:dyDescent="0.25">
      <c r="E409" s="3"/>
      <c r="F409" s="3"/>
    </row>
    <row r="410" spans="5:6" x14ac:dyDescent="0.25">
      <c r="E410" s="3"/>
      <c r="F410" s="3"/>
    </row>
    <row r="411" spans="5:6" x14ac:dyDescent="0.25">
      <c r="E411" s="3"/>
      <c r="F411" s="3"/>
    </row>
    <row r="412" spans="5:6" x14ac:dyDescent="0.25">
      <c r="E412" s="3"/>
      <c r="F412" s="3"/>
    </row>
    <row r="413" spans="5:6" x14ac:dyDescent="0.25">
      <c r="E413" s="3"/>
      <c r="F413" s="3"/>
    </row>
    <row r="414" spans="5:6" x14ac:dyDescent="0.25">
      <c r="E414" s="3"/>
      <c r="F414" s="3"/>
    </row>
    <row r="415" spans="5:6" x14ac:dyDescent="0.25">
      <c r="E415" s="3"/>
      <c r="F415" s="3"/>
    </row>
    <row r="416" spans="5:6" x14ac:dyDescent="0.25">
      <c r="E416" s="3"/>
      <c r="F416" s="3"/>
    </row>
    <row r="417" spans="5:6" x14ac:dyDescent="0.25">
      <c r="E417" s="3"/>
      <c r="F417" s="3"/>
    </row>
    <row r="418" spans="5:6" x14ac:dyDescent="0.25">
      <c r="E418" s="3"/>
      <c r="F418" s="3"/>
    </row>
    <row r="419" spans="5:6" x14ac:dyDescent="0.25">
      <c r="E419" s="3"/>
      <c r="F419" s="3"/>
    </row>
    <row r="420" spans="5:6" x14ac:dyDescent="0.25">
      <c r="E420" s="3"/>
      <c r="F420" s="3"/>
    </row>
    <row r="421" spans="5:6" x14ac:dyDescent="0.25">
      <c r="E421" s="3"/>
      <c r="F421" s="3"/>
    </row>
    <row r="422" spans="5:6" x14ac:dyDescent="0.25">
      <c r="E422" s="3"/>
      <c r="F422" s="3"/>
    </row>
    <row r="423" spans="5:6" x14ac:dyDescent="0.25">
      <c r="E423" s="3"/>
      <c r="F423" s="3"/>
    </row>
    <row r="424" spans="5:6" x14ac:dyDescent="0.25">
      <c r="E424" s="3"/>
      <c r="F424" s="3"/>
    </row>
    <row r="425" spans="5:6" x14ac:dyDescent="0.25">
      <c r="E425" s="3"/>
      <c r="F425" s="3"/>
    </row>
    <row r="426" spans="5:6" x14ac:dyDescent="0.25">
      <c r="E426" s="3"/>
      <c r="F426" s="3"/>
    </row>
    <row r="427" spans="5:6" x14ac:dyDescent="0.25">
      <c r="E427" s="3"/>
      <c r="F427" s="3"/>
    </row>
    <row r="428" spans="5:6" x14ac:dyDescent="0.25">
      <c r="E428" s="3"/>
      <c r="F428" s="3"/>
    </row>
    <row r="429" spans="5:6" x14ac:dyDescent="0.25">
      <c r="E429" s="3"/>
      <c r="F429" s="3"/>
    </row>
    <row r="430" spans="5:6" x14ac:dyDescent="0.25">
      <c r="E430" s="3"/>
      <c r="F430" s="3"/>
    </row>
    <row r="431" spans="5:6" x14ac:dyDescent="0.25">
      <c r="E431" s="3"/>
      <c r="F431" s="3"/>
    </row>
    <row r="432" spans="5:6" x14ac:dyDescent="0.25">
      <c r="E432" s="3"/>
      <c r="F432" s="3"/>
    </row>
    <row r="433" spans="5:6" x14ac:dyDescent="0.25">
      <c r="E433" s="3"/>
      <c r="F433" s="3"/>
    </row>
    <row r="434" spans="5:6" x14ac:dyDescent="0.25">
      <c r="E434" s="3"/>
      <c r="F434" s="3"/>
    </row>
    <row r="435" spans="5:6" x14ac:dyDescent="0.25">
      <c r="E435" s="3"/>
      <c r="F435" s="3"/>
    </row>
    <row r="436" spans="5:6" x14ac:dyDescent="0.25">
      <c r="E436" s="3"/>
      <c r="F436" s="3"/>
    </row>
    <row r="437" spans="5:6" x14ac:dyDescent="0.25">
      <c r="E437" s="3"/>
      <c r="F437" s="3"/>
    </row>
    <row r="438" spans="5:6" x14ac:dyDescent="0.25">
      <c r="E438" s="3"/>
      <c r="F438" s="3"/>
    </row>
    <row r="439" spans="5:6" x14ac:dyDescent="0.25">
      <c r="E439" s="3"/>
      <c r="F439" s="3"/>
    </row>
    <row r="440" spans="5:6" x14ac:dyDescent="0.25">
      <c r="E440" s="3"/>
      <c r="F440" s="3"/>
    </row>
    <row r="441" spans="5:6" x14ac:dyDescent="0.25">
      <c r="E441" s="3"/>
      <c r="F441" s="3"/>
    </row>
    <row r="442" spans="5:6" x14ac:dyDescent="0.25">
      <c r="E442" s="3"/>
      <c r="F442" s="3"/>
    </row>
    <row r="443" spans="5:6" x14ac:dyDescent="0.25">
      <c r="E443" s="3"/>
      <c r="F443" s="3"/>
    </row>
    <row r="444" spans="5:6" x14ac:dyDescent="0.25">
      <c r="E444" s="3"/>
      <c r="F444" s="3"/>
    </row>
    <row r="445" spans="5:6" x14ac:dyDescent="0.25">
      <c r="E445" s="3"/>
      <c r="F445" s="3"/>
    </row>
    <row r="446" spans="5:6" x14ac:dyDescent="0.25">
      <c r="E446" s="3"/>
      <c r="F446" s="3"/>
    </row>
    <row r="447" spans="5:6" x14ac:dyDescent="0.25">
      <c r="E447" s="3"/>
      <c r="F447" s="3"/>
    </row>
    <row r="448" spans="5:6" x14ac:dyDescent="0.25">
      <c r="E448" s="3"/>
      <c r="F448" s="3"/>
    </row>
    <row r="449" spans="5:6" x14ac:dyDescent="0.25">
      <c r="E449" s="3"/>
      <c r="F449" s="3"/>
    </row>
    <row r="450" spans="5:6" x14ac:dyDescent="0.25">
      <c r="E450" s="3"/>
      <c r="F450" s="3"/>
    </row>
    <row r="451" spans="5:6" x14ac:dyDescent="0.25">
      <c r="E451" s="3"/>
      <c r="F451" s="3"/>
    </row>
    <row r="452" spans="5:6" x14ac:dyDescent="0.25">
      <c r="E452" s="3"/>
      <c r="F452" s="3"/>
    </row>
    <row r="453" spans="5:6" x14ac:dyDescent="0.25">
      <c r="E453" s="3"/>
      <c r="F453" s="3"/>
    </row>
    <row r="454" spans="5:6" x14ac:dyDescent="0.25">
      <c r="E454" s="3"/>
      <c r="F454" s="3"/>
    </row>
    <row r="455" spans="5:6" x14ac:dyDescent="0.25">
      <c r="E455" s="3"/>
      <c r="F455" s="3"/>
    </row>
    <row r="456" spans="5:6" x14ac:dyDescent="0.25">
      <c r="E456" s="3"/>
      <c r="F456" s="3"/>
    </row>
    <row r="457" spans="5:6" x14ac:dyDescent="0.25">
      <c r="E457" s="3"/>
      <c r="F457" s="3"/>
    </row>
    <row r="458" spans="5:6" x14ac:dyDescent="0.25">
      <c r="E458" s="3"/>
      <c r="F458" s="3"/>
    </row>
    <row r="459" spans="5:6" x14ac:dyDescent="0.25">
      <c r="E459" s="3"/>
      <c r="F459" s="3"/>
    </row>
    <row r="460" spans="5:6" x14ac:dyDescent="0.25">
      <c r="E460" s="3"/>
      <c r="F460" s="3"/>
    </row>
    <row r="461" spans="5:6" x14ac:dyDescent="0.25">
      <c r="E461" s="3"/>
      <c r="F461" s="3"/>
    </row>
    <row r="462" spans="5:6" x14ac:dyDescent="0.25">
      <c r="E462" s="3"/>
      <c r="F462" s="3"/>
    </row>
    <row r="463" spans="5:6" x14ac:dyDescent="0.25">
      <c r="E463" s="3"/>
      <c r="F463" s="3"/>
    </row>
    <row r="464" spans="5:6" x14ac:dyDescent="0.25">
      <c r="E464" s="3"/>
      <c r="F464" s="3"/>
    </row>
    <row r="465" spans="5:6" x14ac:dyDescent="0.25">
      <c r="E465" s="3"/>
      <c r="F465" s="3"/>
    </row>
    <row r="466" spans="5:6" x14ac:dyDescent="0.25">
      <c r="E466" s="3"/>
      <c r="F466" s="3"/>
    </row>
    <row r="467" spans="5:6" x14ac:dyDescent="0.25">
      <c r="E467" s="3"/>
      <c r="F467" s="3"/>
    </row>
    <row r="468" spans="5:6" x14ac:dyDescent="0.25">
      <c r="E468" s="3"/>
      <c r="F468" s="3"/>
    </row>
    <row r="469" spans="5:6" x14ac:dyDescent="0.25">
      <c r="E469" s="3"/>
      <c r="F469" s="3"/>
    </row>
    <row r="470" spans="5:6" x14ac:dyDescent="0.25">
      <c r="E470" s="3"/>
      <c r="F470" s="3"/>
    </row>
    <row r="471" spans="5:6" x14ac:dyDescent="0.25">
      <c r="E471" s="3"/>
      <c r="F471" s="3"/>
    </row>
    <row r="472" spans="5:6" x14ac:dyDescent="0.25">
      <c r="E472" s="3"/>
      <c r="F472" s="3"/>
    </row>
    <row r="473" spans="5:6" x14ac:dyDescent="0.25">
      <c r="E473" s="3"/>
      <c r="F473" s="3"/>
    </row>
    <row r="474" spans="5:6" x14ac:dyDescent="0.25">
      <c r="E474" s="3"/>
      <c r="F474" s="3"/>
    </row>
    <row r="475" spans="5:6" x14ac:dyDescent="0.25">
      <c r="E475" s="3"/>
      <c r="F475" s="3"/>
    </row>
    <row r="476" spans="5:6" x14ac:dyDescent="0.25">
      <c r="E476" s="3"/>
      <c r="F476" s="3"/>
    </row>
    <row r="477" spans="5:6" x14ac:dyDescent="0.25">
      <c r="E477" s="3"/>
      <c r="F477" s="3"/>
    </row>
    <row r="478" spans="5:6" x14ac:dyDescent="0.25">
      <c r="E478" s="3"/>
      <c r="F478" s="3"/>
    </row>
    <row r="479" spans="5:6" x14ac:dyDescent="0.25">
      <c r="E479" s="3"/>
      <c r="F479" s="3"/>
    </row>
    <row r="480" spans="5:6" x14ac:dyDescent="0.25">
      <c r="E480" s="3"/>
      <c r="F480" s="3"/>
    </row>
    <row r="481" spans="5:6" x14ac:dyDescent="0.25">
      <c r="E481" s="3"/>
      <c r="F481" s="3"/>
    </row>
    <row r="482" spans="5:6" x14ac:dyDescent="0.25">
      <c r="E482" s="3"/>
      <c r="F482" s="3"/>
    </row>
    <row r="483" spans="5:6" x14ac:dyDescent="0.25">
      <c r="E483" s="3"/>
      <c r="F483" s="3"/>
    </row>
    <row r="484" spans="5:6" x14ac:dyDescent="0.25">
      <c r="E484" s="3"/>
      <c r="F484" s="3"/>
    </row>
    <row r="485" spans="5:6" x14ac:dyDescent="0.25">
      <c r="E485" s="3"/>
      <c r="F485" s="3"/>
    </row>
    <row r="486" spans="5:6" x14ac:dyDescent="0.25">
      <c r="E486" s="3"/>
      <c r="F486" s="3"/>
    </row>
    <row r="487" spans="5:6" x14ac:dyDescent="0.25">
      <c r="E487" s="3"/>
      <c r="F487" s="3"/>
    </row>
    <row r="488" spans="5:6" x14ac:dyDescent="0.25">
      <c r="E488" s="3"/>
      <c r="F488" s="3"/>
    </row>
    <row r="489" spans="5:6" x14ac:dyDescent="0.25">
      <c r="E489" s="3"/>
      <c r="F489" s="3"/>
    </row>
    <row r="490" spans="5:6" x14ac:dyDescent="0.25">
      <c r="E490" s="3"/>
      <c r="F490" s="3"/>
    </row>
    <row r="491" spans="5:6" x14ac:dyDescent="0.25">
      <c r="E491" s="3"/>
      <c r="F491" s="3"/>
    </row>
    <row r="492" spans="5:6" x14ac:dyDescent="0.25">
      <c r="E492" s="3"/>
      <c r="F492" s="3"/>
    </row>
    <row r="493" spans="5:6" x14ac:dyDescent="0.25">
      <c r="E493" s="3"/>
      <c r="F493" s="3"/>
    </row>
    <row r="494" spans="5:6" x14ac:dyDescent="0.25">
      <c r="E494" s="3"/>
      <c r="F494" s="3"/>
    </row>
    <row r="495" spans="5:6" x14ac:dyDescent="0.25">
      <c r="E495" s="3"/>
      <c r="F495" s="3"/>
    </row>
    <row r="496" spans="5:6" x14ac:dyDescent="0.25">
      <c r="E496" s="3"/>
      <c r="F496" s="3"/>
    </row>
    <row r="497" spans="5:6" x14ac:dyDescent="0.25">
      <c r="E497" s="3"/>
      <c r="F497" s="3"/>
    </row>
    <row r="498" spans="5:6" x14ac:dyDescent="0.25">
      <c r="E498" s="3"/>
      <c r="F498" s="3"/>
    </row>
    <row r="499" spans="5:6" x14ac:dyDescent="0.25">
      <c r="E499" s="3"/>
      <c r="F499" s="3"/>
    </row>
    <row r="500" spans="5:6" x14ac:dyDescent="0.25">
      <c r="E500" s="3"/>
      <c r="F500" s="3"/>
    </row>
    <row r="501" spans="5:6" x14ac:dyDescent="0.25">
      <c r="E501" s="3"/>
      <c r="F501" s="3"/>
    </row>
    <row r="502" spans="5:6" x14ac:dyDescent="0.25">
      <c r="E502" s="3"/>
      <c r="F502" s="3"/>
    </row>
    <row r="503" spans="5:6" x14ac:dyDescent="0.25">
      <c r="E503" s="3"/>
      <c r="F503" s="3"/>
    </row>
    <row r="504" spans="5:6" x14ac:dyDescent="0.25">
      <c r="E504" s="3"/>
      <c r="F504" s="3"/>
    </row>
    <row r="505" spans="5:6" x14ac:dyDescent="0.25">
      <c r="E505" s="3"/>
      <c r="F505" s="3"/>
    </row>
    <row r="506" spans="5:6" x14ac:dyDescent="0.25">
      <c r="E506" s="3"/>
      <c r="F506" s="3"/>
    </row>
    <row r="507" spans="5:6" x14ac:dyDescent="0.25">
      <c r="E507" s="3"/>
      <c r="F507" s="3"/>
    </row>
    <row r="508" spans="5:6" x14ac:dyDescent="0.25">
      <c r="E508" s="3"/>
      <c r="F508" s="3"/>
    </row>
    <row r="509" spans="5:6" x14ac:dyDescent="0.25">
      <c r="E509" s="3"/>
      <c r="F509" s="3"/>
    </row>
    <row r="510" spans="5:6" x14ac:dyDescent="0.25">
      <c r="E510" s="3"/>
      <c r="F510" s="3"/>
    </row>
    <row r="511" spans="5:6" x14ac:dyDescent="0.25">
      <c r="E511" s="3"/>
      <c r="F511" s="3"/>
    </row>
    <row r="512" spans="5:6" x14ac:dyDescent="0.25">
      <c r="E512" s="3"/>
      <c r="F512" s="3"/>
    </row>
    <row r="513" spans="5:6" x14ac:dyDescent="0.25">
      <c r="E513" s="3"/>
      <c r="F513" s="3"/>
    </row>
    <row r="514" spans="5:6" x14ac:dyDescent="0.25">
      <c r="E514" s="3"/>
      <c r="F514" s="3"/>
    </row>
    <row r="515" spans="5:6" x14ac:dyDescent="0.25">
      <c r="E515" s="3"/>
      <c r="F515" s="3"/>
    </row>
    <row r="516" spans="5:6" x14ac:dyDescent="0.25">
      <c r="E516" s="3"/>
      <c r="F516" s="3"/>
    </row>
    <row r="517" spans="5:6" x14ac:dyDescent="0.25">
      <c r="E517" s="3"/>
      <c r="F517" s="3"/>
    </row>
    <row r="518" spans="5:6" x14ac:dyDescent="0.25">
      <c r="E518" s="3"/>
      <c r="F518" s="3"/>
    </row>
    <row r="519" spans="5:6" x14ac:dyDescent="0.25">
      <c r="E519" s="3"/>
      <c r="F519" s="3"/>
    </row>
    <row r="520" spans="5:6" x14ac:dyDescent="0.25">
      <c r="E520" s="3"/>
      <c r="F520" s="3"/>
    </row>
    <row r="521" spans="5:6" x14ac:dyDescent="0.25">
      <c r="E521" s="3"/>
      <c r="F521" s="3"/>
    </row>
    <row r="522" spans="5:6" x14ac:dyDescent="0.25">
      <c r="E522" s="3"/>
      <c r="F522" s="3"/>
    </row>
    <row r="523" spans="5:6" x14ac:dyDescent="0.25">
      <c r="E523" s="3"/>
      <c r="F523" s="3"/>
    </row>
    <row r="524" spans="5:6" x14ac:dyDescent="0.25">
      <c r="E524" s="3"/>
      <c r="F524" s="3"/>
    </row>
    <row r="525" spans="5:6" x14ac:dyDescent="0.25">
      <c r="E525" s="3"/>
      <c r="F525" s="3"/>
    </row>
    <row r="526" spans="5:6" x14ac:dyDescent="0.25">
      <c r="E526" s="3"/>
      <c r="F526" s="3"/>
    </row>
    <row r="527" spans="5:6" x14ac:dyDescent="0.25">
      <c r="E527" s="3"/>
      <c r="F527" s="3"/>
    </row>
    <row r="528" spans="5:6" x14ac:dyDescent="0.25">
      <c r="E528" s="3"/>
      <c r="F528" s="3"/>
    </row>
    <row r="529" spans="5:6" x14ac:dyDescent="0.25">
      <c r="E529" s="3"/>
      <c r="F529" s="3"/>
    </row>
    <row r="530" spans="5:6" x14ac:dyDescent="0.25">
      <c r="E530" s="3"/>
      <c r="F530" s="3"/>
    </row>
    <row r="531" spans="5:6" x14ac:dyDescent="0.25">
      <c r="E531" s="3"/>
      <c r="F531" s="3"/>
    </row>
    <row r="532" spans="5:6" x14ac:dyDescent="0.25">
      <c r="E532" s="3"/>
      <c r="F532" s="3"/>
    </row>
    <row r="533" spans="5:6" x14ac:dyDescent="0.25">
      <c r="E533" s="3"/>
      <c r="F533" s="3"/>
    </row>
    <row r="534" spans="5:6" x14ac:dyDescent="0.25">
      <c r="E534" s="3"/>
      <c r="F534" s="3"/>
    </row>
    <row r="535" spans="5:6" x14ac:dyDescent="0.25">
      <c r="E535" s="3"/>
      <c r="F535" s="3"/>
    </row>
    <row r="536" spans="5:6" x14ac:dyDescent="0.25">
      <c r="E536" s="3"/>
      <c r="F536" s="3"/>
    </row>
    <row r="537" spans="5:6" x14ac:dyDescent="0.25">
      <c r="E537" s="3"/>
      <c r="F537" s="3"/>
    </row>
    <row r="538" spans="5:6" x14ac:dyDescent="0.25">
      <c r="E538" s="3"/>
      <c r="F538" s="3"/>
    </row>
    <row r="539" spans="5:6" x14ac:dyDescent="0.25">
      <c r="E539" s="3"/>
      <c r="F539" s="3"/>
    </row>
    <row r="540" spans="5:6" x14ac:dyDescent="0.25">
      <c r="E540" s="3"/>
      <c r="F540" s="3"/>
    </row>
    <row r="541" spans="5:6" x14ac:dyDescent="0.25">
      <c r="E541" s="3"/>
      <c r="F541" s="3"/>
    </row>
    <row r="542" spans="5:6" x14ac:dyDescent="0.25">
      <c r="E542" s="3"/>
      <c r="F542" s="3"/>
    </row>
    <row r="543" spans="5:6" x14ac:dyDescent="0.25">
      <c r="E543" s="3"/>
      <c r="F543" s="3"/>
    </row>
    <row r="544" spans="5:6" x14ac:dyDescent="0.25">
      <c r="E544" s="3"/>
      <c r="F544" s="3"/>
    </row>
    <row r="545" spans="5:6" x14ac:dyDescent="0.25">
      <c r="E545" s="3"/>
      <c r="F545" s="3"/>
    </row>
    <row r="546" spans="5:6" x14ac:dyDescent="0.25">
      <c r="E546" s="3"/>
      <c r="F546" s="3"/>
    </row>
    <row r="547" spans="5:6" x14ac:dyDescent="0.25">
      <c r="E547" s="3"/>
      <c r="F547" s="3"/>
    </row>
    <row r="548" spans="5:6" x14ac:dyDescent="0.25">
      <c r="E548" s="3"/>
      <c r="F548" s="3"/>
    </row>
    <row r="549" spans="5:6" x14ac:dyDescent="0.25">
      <c r="E549" s="3"/>
      <c r="F549" s="3"/>
    </row>
    <row r="550" spans="5:6" x14ac:dyDescent="0.25">
      <c r="E550" s="3"/>
      <c r="F550" s="3"/>
    </row>
    <row r="551" spans="5:6" x14ac:dyDescent="0.25">
      <c r="E551" s="3"/>
      <c r="F551" s="3"/>
    </row>
    <row r="552" spans="5:6" x14ac:dyDescent="0.25">
      <c r="E552" s="3"/>
      <c r="F552" s="3"/>
    </row>
    <row r="553" spans="5:6" x14ac:dyDescent="0.25">
      <c r="E553" s="3"/>
      <c r="F553" s="3"/>
    </row>
    <row r="554" spans="5:6" x14ac:dyDescent="0.25">
      <c r="E554" s="3"/>
      <c r="F554" s="3"/>
    </row>
    <row r="555" spans="5:6" x14ac:dyDescent="0.25">
      <c r="E555" s="3"/>
      <c r="F555" s="3"/>
    </row>
    <row r="556" spans="5:6" x14ac:dyDescent="0.25">
      <c r="E556" s="3"/>
      <c r="F556" s="3"/>
    </row>
    <row r="557" spans="5:6" x14ac:dyDescent="0.25">
      <c r="E557" s="3"/>
      <c r="F557" s="3"/>
    </row>
    <row r="558" spans="5:6" x14ac:dyDescent="0.25">
      <c r="E558" s="3"/>
      <c r="F558" s="3"/>
    </row>
    <row r="559" spans="5:6" x14ac:dyDescent="0.25">
      <c r="E559" s="3"/>
      <c r="F559" s="3"/>
    </row>
    <row r="560" spans="5:6" x14ac:dyDescent="0.25">
      <c r="E560" s="3"/>
      <c r="F560" s="3"/>
    </row>
    <row r="561" spans="5:6" x14ac:dyDescent="0.25">
      <c r="E561" s="3"/>
      <c r="F561" s="3"/>
    </row>
    <row r="562" spans="5:6" x14ac:dyDescent="0.25">
      <c r="E562" s="3"/>
      <c r="F562" s="3"/>
    </row>
    <row r="563" spans="5:6" x14ac:dyDescent="0.25">
      <c r="E563" s="3"/>
      <c r="F563" s="3"/>
    </row>
    <row r="564" spans="5:6" x14ac:dyDescent="0.25">
      <c r="E564" s="3"/>
      <c r="F564" s="3"/>
    </row>
    <row r="565" spans="5:6" x14ac:dyDescent="0.25">
      <c r="E565" s="3"/>
      <c r="F565" s="3"/>
    </row>
    <row r="566" spans="5:6" x14ac:dyDescent="0.25">
      <c r="E566" s="3"/>
      <c r="F566" s="3"/>
    </row>
    <row r="567" spans="5:6" x14ac:dyDescent="0.25">
      <c r="E567" s="3"/>
      <c r="F567" s="3"/>
    </row>
    <row r="568" spans="5:6" x14ac:dyDescent="0.25">
      <c r="E568" s="3"/>
      <c r="F568" s="3"/>
    </row>
    <row r="569" spans="5:6" x14ac:dyDescent="0.25">
      <c r="E569" s="3"/>
      <c r="F569" s="3"/>
    </row>
    <row r="570" spans="5:6" x14ac:dyDescent="0.25">
      <c r="E570" s="3"/>
      <c r="F570" s="3"/>
    </row>
    <row r="571" spans="5:6" x14ac:dyDescent="0.25">
      <c r="E571" s="3"/>
      <c r="F571" s="3"/>
    </row>
    <row r="572" spans="5:6" x14ac:dyDescent="0.25">
      <c r="E572" s="3"/>
      <c r="F572" s="3"/>
    </row>
    <row r="573" spans="5:6" x14ac:dyDescent="0.25">
      <c r="E573" s="3"/>
      <c r="F573" s="3"/>
    </row>
    <row r="574" spans="5:6" x14ac:dyDescent="0.25">
      <c r="E574" s="3"/>
      <c r="F574" s="3"/>
    </row>
    <row r="575" spans="5:6" x14ac:dyDescent="0.25">
      <c r="E575" s="3"/>
      <c r="F575" s="3"/>
    </row>
    <row r="576" spans="5:6" x14ac:dyDescent="0.25">
      <c r="E576" s="3"/>
      <c r="F576" s="3"/>
    </row>
    <row r="577" spans="5:6" x14ac:dyDescent="0.25">
      <c r="E577" s="3"/>
      <c r="F577" s="3"/>
    </row>
    <row r="578" spans="5:6" x14ac:dyDescent="0.25">
      <c r="E578" s="3"/>
      <c r="F578" s="3"/>
    </row>
    <row r="579" spans="5:6" x14ac:dyDescent="0.25">
      <c r="E579" s="3"/>
      <c r="F579" s="3"/>
    </row>
    <row r="580" spans="5:6" x14ac:dyDescent="0.25">
      <c r="E580" s="3"/>
      <c r="F580" s="3"/>
    </row>
    <row r="581" spans="5:6" x14ac:dyDescent="0.25">
      <c r="E581" s="3"/>
      <c r="F581" s="3"/>
    </row>
    <row r="582" spans="5:6" x14ac:dyDescent="0.25">
      <c r="E582" s="3"/>
      <c r="F582" s="3"/>
    </row>
    <row r="583" spans="5:6" x14ac:dyDescent="0.25">
      <c r="E583" s="3"/>
      <c r="F583" s="3"/>
    </row>
    <row r="584" spans="5:6" x14ac:dyDescent="0.25">
      <c r="E584" s="3"/>
      <c r="F584" s="3"/>
    </row>
    <row r="585" spans="5:6" x14ac:dyDescent="0.25">
      <c r="E585" s="3"/>
      <c r="F585" s="3"/>
    </row>
    <row r="586" spans="5:6" x14ac:dyDescent="0.25">
      <c r="E586" s="3"/>
      <c r="F586" s="3"/>
    </row>
    <row r="587" spans="5:6" x14ac:dyDescent="0.25">
      <c r="E587" s="3"/>
      <c r="F587" s="3"/>
    </row>
    <row r="588" spans="5:6" x14ac:dyDescent="0.25">
      <c r="E588" s="3"/>
      <c r="F588" s="3"/>
    </row>
    <row r="589" spans="5:6" x14ac:dyDescent="0.25">
      <c r="E589" s="3"/>
      <c r="F589" s="3"/>
    </row>
    <row r="590" spans="5:6" x14ac:dyDescent="0.25">
      <c r="E590" s="3"/>
      <c r="F590" s="3"/>
    </row>
    <row r="591" spans="5:6" x14ac:dyDescent="0.25">
      <c r="E591" s="3"/>
      <c r="F591" s="3"/>
    </row>
    <row r="592" spans="5:6" x14ac:dyDescent="0.25">
      <c r="E592" s="3"/>
      <c r="F592" s="3"/>
    </row>
    <row r="593" spans="5:6" x14ac:dyDescent="0.25">
      <c r="E593" s="3"/>
      <c r="F593" s="3"/>
    </row>
    <row r="594" spans="5:6" x14ac:dyDescent="0.25">
      <c r="E594" s="3"/>
      <c r="F594" s="3"/>
    </row>
    <row r="595" spans="5:6" x14ac:dyDescent="0.25">
      <c r="E595" s="3"/>
      <c r="F595" s="3"/>
    </row>
    <row r="596" spans="5:6" x14ac:dyDescent="0.25">
      <c r="E596" s="3"/>
      <c r="F596" s="3"/>
    </row>
    <row r="597" spans="5:6" x14ac:dyDescent="0.25">
      <c r="E597" s="3"/>
      <c r="F597" s="3"/>
    </row>
    <row r="598" spans="5:6" x14ac:dyDescent="0.25">
      <c r="E598" s="3"/>
      <c r="F598" s="3"/>
    </row>
    <row r="599" spans="5:6" x14ac:dyDescent="0.25">
      <c r="E599" s="3"/>
      <c r="F599" s="3"/>
    </row>
    <row r="600" spans="5:6" x14ac:dyDescent="0.25">
      <c r="E600" s="3"/>
      <c r="F600" s="3"/>
    </row>
    <row r="601" spans="5:6" x14ac:dyDescent="0.25">
      <c r="E601" s="3"/>
      <c r="F601" s="3"/>
    </row>
    <row r="602" spans="5:6" x14ac:dyDescent="0.25">
      <c r="E602" s="3"/>
      <c r="F602" s="3"/>
    </row>
    <row r="603" spans="5:6" x14ac:dyDescent="0.25">
      <c r="E603" s="3"/>
      <c r="F603" s="3"/>
    </row>
    <row r="604" spans="5:6" x14ac:dyDescent="0.25">
      <c r="E604" s="3"/>
      <c r="F604" s="3"/>
    </row>
    <row r="605" spans="5:6" x14ac:dyDescent="0.25">
      <c r="E605" s="3"/>
      <c r="F605" s="3"/>
    </row>
    <row r="606" spans="5:6" x14ac:dyDescent="0.25">
      <c r="E606" s="3"/>
      <c r="F606" s="3"/>
    </row>
    <row r="607" spans="5:6" x14ac:dyDescent="0.25">
      <c r="E607" s="3"/>
      <c r="F607" s="3"/>
    </row>
    <row r="608" spans="5:6" x14ac:dyDescent="0.25">
      <c r="E608" s="3"/>
      <c r="F608" s="3"/>
    </row>
    <row r="609" spans="5:6" x14ac:dyDescent="0.25">
      <c r="E609" s="3"/>
      <c r="F609" s="3"/>
    </row>
    <row r="610" spans="5:6" x14ac:dyDescent="0.25">
      <c r="E610" s="3"/>
      <c r="F610" s="3"/>
    </row>
    <row r="611" spans="5:6" x14ac:dyDescent="0.25">
      <c r="E611" s="3"/>
      <c r="F611" s="3"/>
    </row>
    <row r="612" spans="5:6" x14ac:dyDescent="0.25">
      <c r="E612" s="3"/>
      <c r="F612" s="3"/>
    </row>
    <row r="613" spans="5:6" x14ac:dyDescent="0.25">
      <c r="E613" s="3"/>
      <c r="F613" s="3"/>
    </row>
    <row r="614" spans="5:6" x14ac:dyDescent="0.25">
      <c r="E614" s="3"/>
      <c r="F614" s="3"/>
    </row>
    <row r="615" spans="5:6" x14ac:dyDescent="0.25">
      <c r="E615" s="3"/>
      <c r="F615" s="3"/>
    </row>
    <row r="616" spans="5:6" x14ac:dyDescent="0.25">
      <c r="E616" s="3"/>
      <c r="F616" s="3"/>
    </row>
    <row r="617" spans="5:6" x14ac:dyDescent="0.25">
      <c r="E617" s="3"/>
      <c r="F617" s="3"/>
    </row>
    <row r="618" spans="5:6" x14ac:dyDescent="0.25">
      <c r="E618" s="3"/>
      <c r="F618" s="3"/>
    </row>
    <row r="619" spans="5:6" x14ac:dyDescent="0.25">
      <c r="E619" s="3"/>
      <c r="F619" s="3"/>
    </row>
    <row r="620" spans="5:6" x14ac:dyDescent="0.25">
      <c r="E620" s="3"/>
      <c r="F620" s="3"/>
    </row>
    <row r="621" spans="5:6" x14ac:dyDescent="0.25">
      <c r="E621" s="3"/>
      <c r="F621" s="3"/>
    </row>
    <row r="622" spans="5:6" x14ac:dyDescent="0.25">
      <c r="E622" s="3"/>
      <c r="F622" s="3"/>
    </row>
    <row r="623" spans="5:6" x14ac:dyDescent="0.25">
      <c r="E623" s="3"/>
      <c r="F623" s="3"/>
    </row>
    <row r="624" spans="5:6" x14ac:dyDescent="0.25">
      <c r="E624" s="3"/>
      <c r="F624" s="3"/>
    </row>
    <row r="625" spans="5:6" x14ac:dyDescent="0.25">
      <c r="E625" s="3"/>
      <c r="F625" s="3"/>
    </row>
    <row r="626" spans="5:6" x14ac:dyDescent="0.25">
      <c r="E626" s="3"/>
      <c r="F626" s="3"/>
    </row>
    <row r="627" spans="5:6" x14ac:dyDescent="0.25">
      <c r="E627" s="3"/>
      <c r="F627" s="3"/>
    </row>
    <row r="628" spans="5:6" x14ac:dyDescent="0.25">
      <c r="E628" s="3"/>
      <c r="F628" s="3"/>
    </row>
    <row r="629" spans="5:6" x14ac:dyDescent="0.25">
      <c r="E629" s="3"/>
      <c r="F629" s="3"/>
    </row>
    <row r="630" spans="5:6" x14ac:dyDescent="0.25">
      <c r="E630" s="3"/>
      <c r="F630" s="3"/>
    </row>
    <row r="631" spans="5:6" x14ac:dyDescent="0.25">
      <c r="E631" s="3"/>
      <c r="F631" s="3"/>
    </row>
    <row r="632" spans="5:6" x14ac:dyDescent="0.25">
      <c r="E632" s="3"/>
      <c r="F632" s="3"/>
    </row>
    <row r="633" spans="5:6" x14ac:dyDescent="0.25">
      <c r="E633" s="3"/>
      <c r="F633" s="3"/>
    </row>
    <row r="634" spans="5:6" x14ac:dyDescent="0.25">
      <c r="E634" s="3"/>
      <c r="F634" s="3"/>
    </row>
    <row r="635" spans="5:6" x14ac:dyDescent="0.25">
      <c r="E635" s="3"/>
      <c r="F635" s="3"/>
    </row>
    <row r="636" spans="5:6" x14ac:dyDescent="0.25">
      <c r="E636" s="3"/>
      <c r="F636" s="3"/>
    </row>
    <row r="637" spans="5:6" x14ac:dyDescent="0.25">
      <c r="E637" s="3"/>
      <c r="F637" s="3"/>
    </row>
    <row r="638" spans="5:6" x14ac:dyDescent="0.25">
      <c r="E638" s="3"/>
      <c r="F638" s="3"/>
    </row>
    <row r="639" spans="5:6" x14ac:dyDescent="0.25">
      <c r="E639" s="3"/>
      <c r="F639" s="3"/>
    </row>
    <row r="640" spans="5:6" x14ac:dyDescent="0.25">
      <c r="E640" s="3"/>
      <c r="F640" s="3"/>
    </row>
    <row r="641" spans="5:6" x14ac:dyDescent="0.25">
      <c r="E641" s="3"/>
      <c r="F641" s="3"/>
    </row>
    <row r="642" spans="5:6" x14ac:dyDescent="0.25">
      <c r="E642" s="3"/>
      <c r="F642" s="3"/>
    </row>
    <row r="643" spans="5:6" x14ac:dyDescent="0.25">
      <c r="E643" s="3"/>
      <c r="F643" s="3"/>
    </row>
    <row r="644" spans="5:6" x14ac:dyDescent="0.25">
      <c r="E644" s="3"/>
      <c r="F644" s="3"/>
    </row>
    <row r="645" spans="5:6" x14ac:dyDescent="0.25">
      <c r="E645" s="3"/>
      <c r="F645" s="3"/>
    </row>
    <row r="646" spans="5:6" x14ac:dyDescent="0.25">
      <c r="E646" s="3"/>
      <c r="F646" s="3"/>
    </row>
    <row r="647" spans="5:6" x14ac:dyDescent="0.25">
      <c r="E647" s="3"/>
      <c r="F647" s="3"/>
    </row>
    <row r="648" spans="5:6" x14ac:dyDescent="0.25">
      <c r="E648" s="3"/>
      <c r="F648" s="3"/>
    </row>
    <row r="649" spans="5:6" x14ac:dyDescent="0.25">
      <c r="E649" s="3"/>
      <c r="F649" s="3"/>
    </row>
    <row r="650" spans="5:6" x14ac:dyDescent="0.25">
      <c r="E650" s="3"/>
      <c r="F650" s="3"/>
    </row>
    <row r="651" spans="5:6" x14ac:dyDescent="0.25">
      <c r="E651" s="3"/>
      <c r="F651" s="3"/>
    </row>
    <row r="652" spans="5:6" x14ac:dyDescent="0.25">
      <c r="E652" s="3"/>
      <c r="F652" s="3"/>
    </row>
    <row r="653" spans="5:6" x14ac:dyDescent="0.25">
      <c r="E653" s="3"/>
      <c r="F653" s="3"/>
    </row>
    <row r="654" spans="5:6" x14ac:dyDescent="0.25">
      <c r="E654" s="3"/>
      <c r="F654" s="3"/>
    </row>
    <row r="655" spans="5:6" x14ac:dyDescent="0.25">
      <c r="E655" s="3"/>
      <c r="F655" s="3"/>
    </row>
    <row r="656" spans="5:6" x14ac:dyDescent="0.25">
      <c r="E656" s="3"/>
      <c r="F656" s="3"/>
    </row>
    <row r="657" spans="5:6" x14ac:dyDescent="0.25">
      <c r="E657" s="3"/>
      <c r="F657" s="3"/>
    </row>
    <row r="658" spans="5:6" x14ac:dyDescent="0.25">
      <c r="E658" s="3"/>
      <c r="F658" s="3"/>
    </row>
    <row r="659" spans="5:6" x14ac:dyDescent="0.25">
      <c r="E659" s="3"/>
      <c r="F659" s="3"/>
    </row>
    <row r="660" spans="5:6" x14ac:dyDescent="0.25">
      <c r="E660" s="3"/>
      <c r="F660" s="3"/>
    </row>
    <row r="661" spans="5:6" x14ac:dyDescent="0.25">
      <c r="E661" s="3"/>
      <c r="F661" s="3"/>
    </row>
    <row r="662" spans="5:6" x14ac:dyDescent="0.25">
      <c r="E662" s="3"/>
      <c r="F662" s="3"/>
    </row>
    <row r="663" spans="5:6" x14ac:dyDescent="0.25">
      <c r="E663" s="3"/>
      <c r="F663" s="3"/>
    </row>
    <row r="664" spans="5:6" x14ac:dyDescent="0.25">
      <c r="E664" s="3"/>
      <c r="F664" s="3"/>
    </row>
    <row r="665" spans="5:6" x14ac:dyDescent="0.25">
      <c r="E665" s="3"/>
      <c r="F665" s="3"/>
    </row>
    <row r="666" spans="5:6" x14ac:dyDescent="0.25">
      <c r="E666" s="3"/>
      <c r="F666" s="3"/>
    </row>
    <row r="667" spans="5:6" x14ac:dyDescent="0.25">
      <c r="E667" s="3"/>
      <c r="F667" s="3"/>
    </row>
    <row r="668" spans="5:6" x14ac:dyDescent="0.25">
      <c r="E668" s="3"/>
      <c r="F668" s="3"/>
    </row>
    <row r="669" spans="5:6" x14ac:dyDescent="0.25">
      <c r="E669" s="3"/>
      <c r="F669" s="3"/>
    </row>
    <row r="670" spans="5:6" x14ac:dyDescent="0.25">
      <c r="E670" s="3"/>
      <c r="F670" s="3"/>
    </row>
    <row r="671" spans="5:6" x14ac:dyDescent="0.25">
      <c r="E671" s="3"/>
      <c r="F671" s="3"/>
    </row>
    <row r="672" spans="5:6" x14ac:dyDescent="0.25">
      <c r="E672" s="3"/>
      <c r="F672" s="3"/>
    </row>
    <row r="673" spans="5:6" x14ac:dyDescent="0.25">
      <c r="E673" s="3"/>
      <c r="F673" s="3"/>
    </row>
    <row r="674" spans="5:6" x14ac:dyDescent="0.25">
      <c r="E674" s="3"/>
      <c r="F674" s="3"/>
    </row>
    <row r="675" spans="5:6" x14ac:dyDescent="0.25">
      <c r="E675" s="3"/>
      <c r="F675" s="3"/>
    </row>
    <row r="676" spans="5:6" x14ac:dyDescent="0.25">
      <c r="E676" s="3"/>
      <c r="F676" s="3"/>
    </row>
    <row r="677" spans="5:6" x14ac:dyDescent="0.25">
      <c r="E677" s="3"/>
      <c r="F677" s="3"/>
    </row>
    <row r="678" spans="5:6" x14ac:dyDescent="0.25">
      <c r="E678" s="3"/>
      <c r="F678" s="3"/>
    </row>
    <row r="679" spans="5:6" x14ac:dyDescent="0.25">
      <c r="E679" s="3"/>
      <c r="F679" s="3"/>
    </row>
    <row r="680" spans="5:6" x14ac:dyDescent="0.25">
      <c r="E680" s="3"/>
      <c r="F680" s="3"/>
    </row>
    <row r="681" spans="5:6" x14ac:dyDescent="0.25">
      <c r="E681" s="3"/>
      <c r="F681" s="3"/>
    </row>
    <row r="682" spans="5:6" x14ac:dyDescent="0.25">
      <c r="E682" s="3"/>
      <c r="F682" s="3"/>
    </row>
    <row r="683" spans="5:6" x14ac:dyDescent="0.25">
      <c r="E683" s="3"/>
      <c r="F683" s="3"/>
    </row>
    <row r="684" spans="5:6" x14ac:dyDescent="0.25">
      <c r="E684" s="3"/>
      <c r="F684" s="3"/>
    </row>
    <row r="685" spans="5:6" x14ac:dyDescent="0.25">
      <c r="E685" s="3"/>
      <c r="F685" s="3"/>
    </row>
    <row r="686" spans="5:6" x14ac:dyDescent="0.25">
      <c r="E686" s="3"/>
      <c r="F686" s="3"/>
    </row>
    <row r="687" spans="5:6" x14ac:dyDescent="0.25">
      <c r="E687" s="3"/>
      <c r="F687" s="3"/>
    </row>
    <row r="688" spans="5:6" x14ac:dyDescent="0.25">
      <c r="E688" s="3"/>
      <c r="F688" s="3"/>
    </row>
    <row r="689" spans="5:6" x14ac:dyDescent="0.25">
      <c r="E689" s="3"/>
      <c r="F689" s="3"/>
    </row>
    <row r="690" spans="5:6" x14ac:dyDescent="0.25">
      <c r="E690" s="3"/>
      <c r="F690" s="3"/>
    </row>
    <row r="691" spans="5:6" x14ac:dyDescent="0.25">
      <c r="E691" s="3"/>
      <c r="F691" s="3"/>
    </row>
    <row r="692" spans="5:6" x14ac:dyDescent="0.25">
      <c r="E692" s="3"/>
      <c r="F692" s="3"/>
    </row>
    <row r="693" spans="5:6" x14ac:dyDescent="0.25">
      <c r="E693" s="3"/>
      <c r="F693" s="3"/>
    </row>
    <row r="694" spans="5:6" x14ac:dyDescent="0.25">
      <c r="E694" s="3"/>
      <c r="F694" s="3"/>
    </row>
    <row r="695" spans="5:6" x14ac:dyDescent="0.25">
      <c r="E695" s="3"/>
      <c r="F695" s="3"/>
    </row>
    <row r="696" spans="5:6" x14ac:dyDescent="0.25">
      <c r="E696" s="3"/>
      <c r="F696" s="3"/>
    </row>
    <row r="697" spans="5:6" x14ac:dyDescent="0.25">
      <c r="E697" s="3"/>
      <c r="F697" s="3"/>
    </row>
    <row r="698" spans="5:6" x14ac:dyDescent="0.25">
      <c r="E698" s="3"/>
      <c r="F698" s="3"/>
    </row>
    <row r="699" spans="5:6" x14ac:dyDescent="0.25">
      <c r="E699" s="3"/>
      <c r="F699" s="3"/>
    </row>
    <row r="700" spans="5:6" x14ac:dyDescent="0.25">
      <c r="E700" s="3"/>
      <c r="F700" s="3"/>
    </row>
    <row r="701" spans="5:6" x14ac:dyDescent="0.25">
      <c r="E701" s="3"/>
      <c r="F701" s="3"/>
    </row>
    <row r="702" spans="5:6" x14ac:dyDescent="0.25">
      <c r="E702" s="3"/>
      <c r="F702" s="3"/>
    </row>
    <row r="703" spans="5:6" x14ac:dyDescent="0.25">
      <c r="E703" s="3"/>
      <c r="F703" s="3"/>
    </row>
    <row r="704" spans="5:6" x14ac:dyDescent="0.25">
      <c r="E704" s="3"/>
      <c r="F704" s="3"/>
    </row>
    <row r="705" spans="5:6" x14ac:dyDescent="0.25">
      <c r="E705" s="3"/>
      <c r="F705" s="3"/>
    </row>
    <row r="706" spans="5:6" x14ac:dyDescent="0.25">
      <c r="E706" s="3"/>
      <c r="F706" s="3"/>
    </row>
    <row r="707" spans="5:6" x14ac:dyDescent="0.25">
      <c r="E707" s="3"/>
      <c r="F707" s="3"/>
    </row>
    <row r="708" spans="5:6" x14ac:dyDescent="0.25">
      <c r="E708" s="3"/>
      <c r="F708" s="3"/>
    </row>
    <row r="709" spans="5:6" x14ac:dyDescent="0.25">
      <c r="E709" s="3"/>
      <c r="F709" s="3"/>
    </row>
    <row r="710" spans="5:6" x14ac:dyDescent="0.25">
      <c r="E710" s="3"/>
      <c r="F710" s="3"/>
    </row>
    <row r="711" spans="5:6" x14ac:dyDescent="0.25">
      <c r="E711" s="3"/>
      <c r="F711" s="3"/>
    </row>
    <row r="712" spans="5:6" x14ac:dyDescent="0.25">
      <c r="E712" s="3"/>
      <c r="F712" s="3"/>
    </row>
    <row r="713" spans="5:6" x14ac:dyDescent="0.25">
      <c r="E713" s="3"/>
      <c r="F713" s="3"/>
    </row>
    <row r="714" spans="5:6" x14ac:dyDescent="0.25">
      <c r="E714" s="3"/>
      <c r="F714" s="3"/>
    </row>
    <row r="715" spans="5:6" x14ac:dyDescent="0.25">
      <c r="E715" s="3"/>
      <c r="F715" s="3"/>
    </row>
    <row r="716" spans="5:6" x14ac:dyDescent="0.25">
      <c r="E716" s="3"/>
      <c r="F716" s="3"/>
    </row>
    <row r="717" spans="5:6" x14ac:dyDescent="0.25">
      <c r="E717" s="3"/>
      <c r="F717" s="3"/>
    </row>
    <row r="718" spans="5:6" x14ac:dyDescent="0.25">
      <c r="E718" s="3"/>
      <c r="F718" s="3"/>
    </row>
    <row r="719" spans="5:6" x14ac:dyDescent="0.25">
      <c r="E719" s="3"/>
      <c r="F719" s="3"/>
    </row>
    <row r="720" spans="5:6" x14ac:dyDescent="0.25">
      <c r="E720" s="3"/>
      <c r="F720" s="3"/>
    </row>
    <row r="721" spans="5:6" x14ac:dyDescent="0.25">
      <c r="E721" s="3"/>
      <c r="F721" s="3"/>
    </row>
    <row r="722" spans="5:6" x14ac:dyDescent="0.25">
      <c r="E722" s="3"/>
      <c r="F722" s="3"/>
    </row>
    <row r="723" spans="5:6" x14ac:dyDescent="0.25">
      <c r="E723" s="3"/>
      <c r="F723" s="3"/>
    </row>
    <row r="724" spans="5:6" x14ac:dyDescent="0.25">
      <c r="E724" s="3"/>
      <c r="F724" s="3"/>
    </row>
    <row r="725" spans="5:6" x14ac:dyDescent="0.25">
      <c r="E725" s="3"/>
      <c r="F725" s="3"/>
    </row>
    <row r="726" spans="5:6" x14ac:dyDescent="0.25">
      <c r="E726" s="3"/>
      <c r="F726" s="3"/>
    </row>
    <row r="727" spans="5:6" x14ac:dyDescent="0.25">
      <c r="E727" s="3"/>
      <c r="F727" s="3"/>
    </row>
    <row r="728" spans="5:6" x14ac:dyDescent="0.25">
      <c r="E728" s="3"/>
      <c r="F728" s="3"/>
    </row>
    <row r="729" spans="5:6" x14ac:dyDescent="0.25">
      <c r="E729" s="3"/>
      <c r="F729" s="3"/>
    </row>
    <row r="730" spans="5:6" x14ac:dyDescent="0.25">
      <c r="E730" s="3"/>
      <c r="F730" s="3"/>
    </row>
    <row r="731" spans="5:6" x14ac:dyDescent="0.25">
      <c r="E731" s="3"/>
      <c r="F731" s="3"/>
    </row>
    <row r="732" spans="5:6" x14ac:dyDescent="0.25">
      <c r="E732" s="3"/>
      <c r="F732" s="3"/>
    </row>
    <row r="733" spans="5:6" x14ac:dyDescent="0.25">
      <c r="E733" s="3"/>
      <c r="F733" s="3"/>
    </row>
    <row r="734" spans="5:6" x14ac:dyDescent="0.25">
      <c r="E734" s="3"/>
      <c r="F734" s="3"/>
    </row>
    <row r="735" spans="5:6" x14ac:dyDescent="0.25">
      <c r="E735" s="3"/>
      <c r="F735" s="3"/>
    </row>
    <row r="736" spans="5:6" x14ac:dyDescent="0.25">
      <c r="E736" s="3"/>
      <c r="F736" s="3"/>
    </row>
    <row r="737" spans="5:6" x14ac:dyDescent="0.25">
      <c r="E737" s="3"/>
      <c r="F737" s="3"/>
    </row>
    <row r="738" spans="5:6" x14ac:dyDescent="0.25">
      <c r="E738" s="3"/>
      <c r="F738" s="3"/>
    </row>
    <row r="739" spans="5:6" x14ac:dyDescent="0.25">
      <c r="E739" s="3"/>
      <c r="F739" s="3"/>
    </row>
    <row r="740" spans="5:6" x14ac:dyDescent="0.25">
      <c r="E740" s="3"/>
      <c r="F740" s="3"/>
    </row>
    <row r="741" spans="5:6" x14ac:dyDescent="0.25">
      <c r="E741" s="3"/>
      <c r="F741" s="3"/>
    </row>
    <row r="742" spans="5:6" x14ac:dyDescent="0.25">
      <c r="E742" s="3"/>
      <c r="F742" s="3"/>
    </row>
    <row r="743" spans="5:6" x14ac:dyDescent="0.25">
      <c r="E743" s="3"/>
      <c r="F743" s="3"/>
    </row>
    <row r="744" spans="5:6" x14ac:dyDescent="0.25">
      <c r="E744" s="3"/>
      <c r="F744" s="3"/>
    </row>
    <row r="745" spans="5:6" x14ac:dyDescent="0.25">
      <c r="E745" s="3"/>
      <c r="F745" s="3"/>
    </row>
    <row r="746" spans="5:6" x14ac:dyDescent="0.25">
      <c r="E746" s="3"/>
      <c r="F746" s="3"/>
    </row>
    <row r="747" spans="5:6" x14ac:dyDescent="0.25">
      <c r="E747" s="3"/>
      <c r="F747" s="3"/>
    </row>
    <row r="748" spans="5:6" x14ac:dyDescent="0.25">
      <c r="E748" s="3"/>
      <c r="F748" s="3"/>
    </row>
    <row r="749" spans="5:6" x14ac:dyDescent="0.25">
      <c r="E749" s="3"/>
      <c r="F749" s="3"/>
    </row>
    <row r="750" spans="5:6" x14ac:dyDescent="0.25">
      <c r="E750" s="3"/>
      <c r="F750" s="3"/>
    </row>
    <row r="751" spans="5:6" x14ac:dyDescent="0.25">
      <c r="E751" s="3"/>
      <c r="F751" s="3"/>
    </row>
    <row r="752" spans="5:6" x14ac:dyDescent="0.25">
      <c r="E752" s="3"/>
      <c r="F752" s="3"/>
    </row>
    <row r="753" spans="5:6" x14ac:dyDescent="0.25">
      <c r="E753" s="3"/>
      <c r="F753" s="3"/>
    </row>
    <row r="754" spans="5:6" x14ac:dyDescent="0.25">
      <c r="E754" s="3"/>
      <c r="F754" s="3"/>
    </row>
    <row r="755" spans="5:6" x14ac:dyDescent="0.25">
      <c r="E755" s="3"/>
      <c r="F755" s="3"/>
    </row>
    <row r="756" spans="5:6" x14ac:dyDescent="0.25">
      <c r="E756" s="3"/>
      <c r="F756" s="3"/>
    </row>
    <row r="757" spans="5:6" x14ac:dyDescent="0.25">
      <c r="E757" s="3"/>
      <c r="F757" s="3"/>
    </row>
    <row r="758" spans="5:6" x14ac:dyDescent="0.25">
      <c r="E758" s="3"/>
      <c r="F758" s="3"/>
    </row>
    <row r="759" spans="5:6" x14ac:dyDescent="0.25">
      <c r="E759" s="3"/>
      <c r="F759" s="3"/>
    </row>
    <row r="760" spans="5:6" x14ac:dyDescent="0.25">
      <c r="E760" s="3"/>
      <c r="F760" s="3"/>
    </row>
    <row r="761" spans="5:6" x14ac:dyDescent="0.25">
      <c r="E761" s="3"/>
      <c r="F761" s="3"/>
    </row>
    <row r="762" spans="5:6" x14ac:dyDescent="0.25">
      <c r="E762" s="3"/>
      <c r="F762" s="3"/>
    </row>
    <row r="763" spans="5:6" x14ac:dyDescent="0.25">
      <c r="E763" s="3"/>
      <c r="F763" s="3"/>
    </row>
    <row r="764" spans="5:6" x14ac:dyDescent="0.25">
      <c r="E764" s="3"/>
      <c r="F764" s="3"/>
    </row>
    <row r="765" spans="5:6" x14ac:dyDescent="0.25">
      <c r="E765" s="3"/>
      <c r="F765" s="3"/>
    </row>
    <row r="766" spans="5:6" x14ac:dyDescent="0.25">
      <c r="E766" s="3"/>
      <c r="F766" s="3"/>
    </row>
    <row r="767" spans="5:6" x14ac:dyDescent="0.25">
      <c r="E767" s="3"/>
      <c r="F767" s="3"/>
    </row>
    <row r="768" spans="5:6" x14ac:dyDescent="0.25">
      <c r="E768" s="3"/>
      <c r="F768" s="3"/>
    </row>
    <row r="769" spans="5:6" x14ac:dyDescent="0.25">
      <c r="E769" s="3"/>
      <c r="F769" s="3"/>
    </row>
    <row r="770" spans="5:6" x14ac:dyDescent="0.25">
      <c r="E770" s="3"/>
      <c r="F770" s="3"/>
    </row>
    <row r="771" spans="5:6" x14ac:dyDescent="0.25">
      <c r="E771" s="3"/>
      <c r="F771" s="3"/>
    </row>
    <row r="772" spans="5:6" x14ac:dyDescent="0.25">
      <c r="E772" s="3"/>
      <c r="F772" s="3"/>
    </row>
    <row r="773" spans="5:6" x14ac:dyDescent="0.25">
      <c r="E773" s="3"/>
      <c r="F773" s="3"/>
    </row>
    <row r="774" spans="5:6" x14ac:dyDescent="0.25">
      <c r="E774" s="3"/>
      <c r="F774" s="3"/>
    </row>
    <row r="775" spans="5:6" x14ac:dyDescent="0.25">
      <c r="E775" s="3"/>
      <c r="F775" s="3"/>
    </row>
    <row r="776" spans="5:6" x14ac:dyDescent="0.25">
      <c r="E776" s="3"/>
      <c r="F776" s="3"/>
    </row>
    <row r="777" spans="5:6" x14ac:dyDescent="0.25">
      <c r="E777" s="3"/>
      <c r="F777" s="3"/>
    </row>
    <row r="778" spans="5:6" x14ac:dyDescent="0.25">
      <c r="E778" s="3"/>
      <c r="F778" s="3"/>
    </row>
    <row r="779" spans="5:6" x14ac:dyDescent="0.25">
      <c r="E779" s="3"/>
      <c r="F779" s="3"/>
    </row>
    <row r="780" spans="5:6" x14ac:dyDescent="0.25">
      <c r="E780" s="3"/>
      <c r="F780" s="3"/>
    </row>
    <row r="781" spans="5:6" x14ac:dyDescent="0.25">
      <c r="E781" s="3"/>
      <c r="F781" s="3"/>
    </row>
    <row r="782" spans="5:6" x14ac:dyDescent="0.25">
      <c r="E782" s="3"/>
      <c r="F782" s="3"/>
    </row>
    <row r="783" spans="5:6" x14ac:dyDescent="0.25">
      <c r="E783" s="3"/>
      <c r="F783" s="3"/>
    </row>
    <row r="784" spans="5:6" x14ac:dyDescent="0.25">
      <c r="E784" s="3"/>
      <c r="F784" s="3"/>
    </row>
    <row r="785" spans="5:6" x14ac:dyDescent="0.25">
      <c r="E785" s="3"/>
      <c r="F785" s="3"/>
    </row>
    <row r="786" spans="5:6" x14ac:dyDescent="0.25">
      <c r="E786" s="3"/>
      <c r="F786" s="3"/>
    </row>
    <row r="787" spans="5:6" x14ac:dyDescent="0.25">
      <c r="E787" s="3"/>
      <c r="F787" s="3"/>
    </row>
    <row r="788" spans="5:6" x14ac:dyDescent="0.25">
      <c r="E788" s="3"/>
      <c r="F788" s="3"/>
    </row>
    <row r="789" spans="5:6" x14ac:dyDescent="0.25">
      <c r="E789" s="3"/>
      <c r="F789" s="3"/>
    </row>
    <row r="790" spans="5:6" x14ac:dyDescent="0.25">
      <c r="E790" s="3"/>
      <c r="F790" s="3"/>
    </row>
    <row r="791" spans="5:6" x14ac:dyDescent="0.25">
      <c r="E791" s="3"/>
      <c r="F791" s="3"/>
    </row>
    <row r="792" spans="5:6" x14ac:dyDescent="0.25">
      <c r="E792" s="3"/>
      <c r="F792" s="3"/>
    </row>
    <row r="793" spans="5:6" x14ac:dyDescent="0.25">
      <c r="E793" s="3"/>
      <c r="F793" s="3"/>
    </row>
    <row r="794" spans="5:6" x14ac:dyDescent="0.25">
      <c r="E794" s="3"/>
      <c r="F794" s="3"/>
    </row>
    <row r="795" spans="5:6" x14ac:dyDescent="0.25">
      <c r="E795" s="3"/>
      <c r="F795" s="3"/>
    </row>
    <row r="796" spans="5:6" x14ac:dyDescent="0.25">
      <c r="E796" s="3"/>
      <c r="F796" s="3"/>
    </row>
    <row r="797" spans="5:6" x14ac:dyDescent="0.25">
      <c r="E797" s="3"/>
      <c r="F797" s="3"/>
    </row>
    <row r="798" spans="5:6" x14ac:dyDescent="0.25">
      <c r="E798" s="3"/>
      <c r="F798" s="3"/>
    </row>
    <row r="799" spans="5:6" x14ac:dyDescent="0.25">
      <c r="E799" s="3"/>
      <c r="F799" s="3"/>
    </row>
    <row r="800" spans="5:6" x14ac:dyDescent="0.25">
      <c r="E800" s="3"/>
      <c r="F800" s="3"/>
    </row>
    <row r="801" spans="5:6" x14ac:dyDescent="0.25">
      <c r="E801" s="3"/>
      <c r="F801" s="3"/>
    </row>
    <row r="802" spans="5:6" x14ac:dyDescent="0.25">
      <c r="E802" s="3"/>
      <c r="F802" s="3"/>
    </row>
    <row r="803" spans="5:6" x14ac:dyDescent="0.25">
      <c r="E803" s="3"/>
      <c r="F803" s="3"/>
    </row>
    <row r="804" spans="5:6" x14ac:dyDescent="0.25">
      <c r="E804" s="3"/>
      <c r="F804" s="3"/>
    </row>
    <row r="805" spans="5:6" x14ac:dyDescent="0.25">
      <c r="E805" s="3"/>
      <c r="F805" s="3"/>
    </row>
    <row r="806" spans="5:6" x14ac:dyDescent="0.25">
      <c r="E806" s="3"/>
      <c r="F806" s="3"/>
    </row>
    <row r="807" spans="5:6" x14ac:dyDescent="0.25">
      <c r="E807" s="3"/>
      <c r="F807" s="3"/>
    </row>
    <row r="808" spans="5:6" x14ac:dyDescent="0.25">
      <c r="E808" s="3"/>
      <c r="F808" s="3"/>
    </row>
    <row r="809" spans="5:6" x14ac:dyDescent="0.25">
      <c r="E809" s="3"/>
      <c r="F809" s="3"/>
    </row>
    <row r="810" spans="5:6" x14ac:dyDescent="0.25">
      <c r="E810" s="3"/>
      <c r="F810" s="3"/>
    </row>
    <row r="811" spans="5:6" x14ac:dyDescent="0.25">
      <c r="E811" s="3"/>
      <c r="F811" s="3"/>
    </row>
    <row r="812" spans="5:6" x14ac:dyDescent="0.25">
      <c r="E812" s="3"/>
      <c r="F812" s="3"/>
    </row>
    <row r="813" spans="5:6" x14ac:dyDescent="0.25">
      <c r="E813" s="3"/>
      <c r="F813" s="3"/>
    </row>
    <row r="814" spans="5:6" x14ac:dyDescent="0.25">
      <c r="E814" s="3"/>
      <c r="F814" s="3"/>
    </row>
    <row r="815" spans="5:6" x14ac:dyDescent="0.25">
      <c r="E815" s="3"/>
      <c r="F815" s="3"/>
    </row>
    <row r="816" spans="5:6" x14ac:dyDescent="0.25">
      <c r="E816" s="3"/>
      <c r="F816" s="3"/>
    </row>
    <row r="817" spans="5:6" x14ac:dyDescent="0.25">
      <c r="E817" s="3"/>
      <c r="F817" s="3"/>
    </row>
    <row r="818" spans="5:6" x14ac:dyDescent="0.25">
      <c r="E818" s="3"/>
      <c r="F818" s="3"/>
    </row>
    <row r="819" spans="5:6" x14ac:dyDescent="0.25">
      <c r="E819" s="3"/>
      <c r="F819" s="3"/>
    </row>
    <row r="820" spans="5:6" x14ac:dyDescent="0.25">
      <c r="E820" s="3"/>
      <c r="F820" s="3"/>
    </row>
    <row r="821" spans="5:6" x14ac:dyDescent="0.25">
      <c r="E821" s="3"/>
      <c r="F821" s="3"/>
    </row>
    <row r="822" spans="5:6" x14ac:dyDescent="0.25">
      <c r="E822" s="3"/>
      <c r="F822" s="3"/>
    </row>
    <row r="823" spans="5:6" x14ac:dyDescent="0.25">
      <c r="E823" s="3"/>
      <c r="F823" s="3"/>
    </row>
    <row r="824" spans="5:6" x14ac:dyDescent="0.25">
      <c r="E824" s="3"/>
      <c r="F824" s="3"/>
    </row>
    <row r="825" spans="5:6" x14ac:dyDescent="0.25">
      <c r="E825" s="3"/>
      <c r="F825" s="3"/>
    </row>
    <row r="826" spans="5:6" x14ac:dyDescent="0.25">
      <c r="E826" s="3"/>
      <c r="F826" s="3"/>
    </row>
    <row r="827" spans="5:6" x14ac:dyDescent="0.25">
      <c r="E827" s="3"/>
      <c r="F827" s="3"/>
    </row>
    <row r="828" spans="5:6" x14ac:dyDescent="0.25">
      <c r="E828" s="3"/>
      <c r="F828" s="3"/>
    </row>
    <row r="829" spans="5:6" x14ac:dyDescent="0.25">
      <c r="E829" s="3"/>
      <c r="F829" s="3"/>
    </row>
    <row r="830" spans="5:6" x14ac:dyDescent="0.25">
      <c r="E830" s="3"/>
      <c r="F830" s="3"/>
    </row>
    <row r="831" spans="5:6" x14ac:dyDescent="0.25">
      <c r="E831" s="3"/>
      <c r="F831" s="3"/>
    </row>
    <row r="832" spans="5:6" x14ac:dyDescent="0.25">
      <c r="E832" s="3"/>
      <c r="F832" s="3"/>
    </row>
    <row r="833" spans="5:6" x14ac:dyDescent="0.25">
      <c r="E833" s="3"/>
      <c r="F833" s="3"/>
    </row>
    <row r="834" spans="5:6" x14ac:dyDescent="0.25">
      <c r="E834" s="3"/>
      <c r="F834" s="3"/>
    </row>
    <row r="835" spans="5:6" x14ac:dyDescent="0.25">
      <c r="E835" s="3"/>
      <c r="F835" s="3"/>
    </row>
    <row r="836" spans="5:6" x14ac:dyDescent="0.25">
      <c r="E836" s="3"/>
      <c r="F836" s="3"/>
    </row>
    <row r="837" spans="5:6" x14ac:dyDescent="0.25">
      <c r="E837" s="3"/>
      <c r="F837" s="3"/>
    </row>
    <row r="838" spans="5:6" x14ac:dyDescent="0.25">
      <c r="E838" s="3"/>
      <c r="F838" s="3"/>
    </row>
    <row r="839" spans="5:6" x14ac:dyDescent="0.25">
      <c r="E839" s="3"/>
      <c r="F839" s="3"/>
    </row>
    <row r="840" spans="5:6" x14ac:dyDescent="0.25">
      <c r="E840" s="3"/>
      <c r="F840" s="3"/>
    </row>
    <row r="841" spans="5:6" x14ac:dyDescent="0.25">
      <c r="E841" s="3"/>
      <c r="F841" s="3"/>
    </row>
    <row r="842" spans="5:6" x14ac:dyDescent="0.25">
      <c r="E842" s="3"/>
      <c r="F842" s="3"/>
    </row>
    <row r="843" spans="5:6" x14ac:dyDescent="0.25">
      <c r="E843" s="3"/>
      <c r="F843" s="3"/>
    </row>
    <row r="844" spans="5:6" x14ac:dyDescent="0.25">
      <c r="E844" s="3"/>
      <c r="F844" s="3"/>
    </row>
    <row r="845" spans="5:6" x14ac:dyDescent="0.25">
      <c r="E845" s="3"/>
      <c r="F845" s="3"/>
    </row>
    <row r="846" spans="5:6" x14ac:dyDescent="0.25">
      <c r="E846" s="3"/>
      <c r="F846" s="3"/>
    </row>
    <row r="847" spans="5:6" x14ac:dyDescent="0.25">
      <c r="E847" s="3"/>
      <c r="F847" s="3"/>
    </row>
    <row r="848" spans="5:6" x14ac:dyDescent="0.25">
      <c r="E848" s="3"/>
      <c r="F848" s="3"/>
    </row>
    <row r="849" spans="5:6" x14ac:dyDescent="0.25">
      <c r="E849" s="3"/>
      <c r="F849" s="3"/>
    </row>
    <row r="850" spans="5:6" x14ac:dyDescent="0.25">
      <c r="E850" s="3"/>
      <c r="F850" s="3"/>
    </row>
    <row r="851" spans="5:6" x14ac:dyDescent="0.25">
      <c r="E851" s="3"/>
      <c r="F851" s="3"/>
    </row>
    <row r="852" spans="5:6" x14ac:dyDescent="0.25">
      <c r="E852" s="3"/>
      <c r="F852" s="3"/>
    </row>
    <row r="853" spans="5:6" x14ac:dyDescent="0.25">
      <c r="E853" s="3"/>
      <c r="F853" s="3"/>
    </row>
    <row r="854" spans="5:6" x14ac:dyDescent="0.25">
      <c r="E854" s="3"/>
      <c r="F854" s="3"/>
    </row>
    <row r="855" spans="5:6" x14ac:dyDescent="0.25">
      <c r="E855" s="3"/>
      <c r="F855" s="3"/>
    </row>
    <row r="856" spans="5:6" x14ac:dyDescent="0.25">
      <c r="E856" s="3"/>
      <c r="F856" s="3"/>
    </row>
    <row r="857" spans="5:6" x14ac:dyDescent="0.25">
      <c r="E857" s="3"/>
      <c r="F857" s="3"/>
    </row>
    <row r="858" spans="5:6" x14ac:dyDescent="0.25">
      <c r="E858" s="3"/>
      <c r="F858" s="3"/>
    </row>
    <row r="859" spans="5:6" x14ac:dyDescent="0.25">
      <c r="E859" s="3"/>
      <c r="F859" s="3"/>
    </row>
    <row r="860" spans="5:6" x14ac:dyDescent="0.25">
      <c r="E860" s="3"/>
      <c r="F860" s="3"/>
    </row>
    <row r="861" spans="5:6" x14ac:dyDescent="0.25">
      <c r="E861" s="3"/>
      <c r="F861" s="3"/>
    </row>
    <row r="862" spans="5:6" x14ac:dyDescent="0.25">
      <c r="E862" s="3"/>
      <c r="F862" s="3"/>
    </row>
    <row r="863" spans="5:6" x14ac:dyDescent="0.25">
      <c r="E863" s="3"/>
      <c r="F863" s="3"/>
    </row>
    <row r="864" spans="5:6" x14ac:dyDescent="0.25">
      <c r="E864" s="3"/>
      <c r="F864" s="3"/>
    </row>
    <row r="865" spans="5:6" x14ac:dyDescent="0.25">
      <c r="E865" s="3"/>
      <c r="F865" s="3"/>
    </row>
    <row r="866" spans="5:6" x14ac:dyDescent="0.25">
      <c r="E866" s="3"/>
      <c r="F866" s="3"/>
    </row>
    <row r="867" spans="5:6" x14ac:dyDescent="0.25">
      <c r="E867" s="3"/>
      <c r="F867" s="3"/>
    </row>
    <row r="868" spans="5:6" x14ac:dyDescent="0.25">
      <c r="E868" s="3"/>
      <c r="F868" s="3"/>
    </row>
    <row r="869" spans="5:6" x14ac:dyDescent="0.25">
      <c r="E869" s="3"/>
      <c r="F869" s="3"/>
    </row>
    <row r="870" spans="5:6" x14ac:dyDescent="0.25">
      <c r="E870" s="3"/>
      <c r="F870" s="3"/>
    </row>
    <row r="871" spans="5:6" x14ac:dyDescent="0.25">
      <c r="E871" s="3"/>
      <c r="F871" s="3"/>
    </row>
    <row r="872" spans="5:6" x14ac:dyDescent="0.25">
      <c r="E872" s="3"/>
      <c r="F872" s="3"/>
    </row>
    <row r="873" spans="5:6" x14ac:dyDescent="0.25">
      <c r="E873" s="3"/>
      <c r="F873" s="3"/>
    </row>
    <row r="874" spans="5:6" x14ac:dyDescent="0.25">
      <c r="E874" s="3"/>
      <c r="F874" s="3"/>
    </row>
    <row r="875" spans="5:6" x14ac:dyDescent="0.25">
      <c r="E875" s="3"/>
      <c r="F875" s="3"/>
    </row>
    <row r="876" spans="5:6" x14ac:dyDescent="0.25">
      <c r="E876" s="3"/>
      <c r="F876" s="3"/>
    </row>
    <row r="877" spans="5:6" x14ac:dyDescent="0.25">
      <c r="E877" s="3"/>
      <c r="F877" s="3"/>
    </row>
    <row r="878" spans="5:6" x14ac:dyDescent="0.25">
      <c r="E878" s="3"/>
      <c r="F878" s="3"/>
    </row>
    <row r="879" spans="5:6" x14ac:dyDescent="0.25">
      <c r="E879" s="3"/>
      <c r="F879" s="3"/>
    </row>
    <row r="880" spans="5:6" x14ac:dyDescent="0.25">
      <c r="E880" s="3"/>
      <c r="F880" s="3"/>
    </row>
    <row r="881" spans="5:6" x14ac:dyDescent="0.25">
      <c r="E881" s="3"/>
      <c r="F881" s="3"/>
    </row>
    <row r="882" spans="5:6" x14ac:dyDescent="0.25">
      <c r="E882" s="3"/>
      <c r="F882" s="3"/>
    </row>
    <row r="883" spans="5:6" x14ac:dyDescent="0.25">
      <c r="E883" s="3"/>
      <c r="F883" s="3"/>
    </row>
    <row r="884" spans="5:6" x14ac:dyDescent="0.25">
      <c r="E884" s="3"/>
      <c r="F884" s="3"/>
    </row>
    <row r="885" spans="5:6" x14ac:dyDescent="0.25">
      <c r="E885" s="3"/>
      <c r="F885" s="3"/>
    </row>
    <row r="886" spans="5:6" x14ac:dyDescent="0.25">
      <c r="E886" s="3"/>
      <c r="F886" s="3"/>
    </row>
    <row r="887" spans="5:6" x14ac:dyDescent="0.25">
      <c r="E887" s="3"/>
      <c r="F887" s="3"/>
    </row>
    <row r="888" spans="5:6" x14ac:dyDescent="0.25">
      <c r="E888" s="3"/>
      <c r="F888" s="3"/>
    </row>
    <row r="889" spans="5:6" x14ac:dyDescent="0.25">
      <c r="E889" s="3"/>
      <c r="F889" s="3"/>
    </row>
    <row r="890" spans="5:6" x14ac:dyDescent="0.25">
      <c r="E890" s="3"/>
      <c r="F890" s="3"/>
    </row>
    <row r="891" spans="5:6" x14ac:dyDescent="0.25">
      <c r="E891" s="3"/>
      <c r="F891" s="3"/>
    </row>
    <row r="892" spans="5:6" x14ac:dyDescent="0.25">
      <c r="E892" s="3"/>
      <c r="F892" s="3"/>
    </row>
    <row r="893" spans="5:6" x14ac:dyDescent="0.25">
      <c r="E893" s="3"/>
      <c r="F893" s="3"/>
    </row>
    <row r="894" spans="5:6" x14ac:dyDescent="0.25">
      <c r="E894" s="3"/>
      <c r="F894" s="3"/>
    </row>
    <row r="895" spans="5:6" x14ac:dyDescent="0.25">
      <c r="E895" s="3"/>
      <c r="F895" s="3"/>
    </row>
    <row r="896" spans="5:6" x14ac:dyDescent="0.25">
      <c r="E896" s="3"/>
      <c r="F896" s="3"/>
    </row>
    <row r="897" spans="5:6" x14ac:dyDescent="0.25">
      <c r="E897" s="3"/>
      <c r="F897" s="3"/>
    </row>
    <row r="898" spans="5:6" x14ac:dyDescent="0.25">
      <c r="E898" s="3"/>
      <c r="F898" s="3"/>
    </row>
    <row r="899" spans="5:6" x14ac:dyDescent="0.25">
      <c r="E899" s="3"/>
      <c r="F899" s="3"/>
    </row>
    <row r="900" spans="5:6" x14ac:dyDescent="0.25">
      <c r="E900" s="3"/>
      <c r="F900" s="3"/>
    </row>
    <row r="901" spans="5:6" x14ac:dyDescent="0.25">
      <c r="E901" s="3"/>
      <c r="F901" s="3"/>
    </row>
    <row r="902" spans="5:6" x14ac:dyDescent="0.25">
      <c r="E902" s="3"/>
      <c r="F902" s="3"/>
    </row>
    <row r="903" spans="5:6" x14ac:dyDescent="0.25">
      <c r="E903" s="3"/>
      <c r="F903" s="3"/>
    </row>
    <row r="904" spans="5:6" x14ac:dyDescent="0.25">
      <c r="E904" s="3"/>
      <c r="F904" s="3"/>
    </row>
    <row r="905" spans="5:6" x14ac:dyDescent="0.25">
      <c r="E905" s="3"/>
      <c r="F905" s="3"/>
    </row>
    <row r="906" spans="5:6" x14ac:dyDescent="0.25">
      <c r="E906" s="3"/>
      <c r="F906" s="3"/>
    </row>
    <row r="907" spans="5:6" x14ac:dyDescent="0.25">
      <c r="E907" s="3"/>
      <c r="F907" s="3"/>
    </row>
    <row r="908" spans="5:6" x14ac:dyDescent="0.25">
      <c r="E908" s="3"/>
      <c r="F908" s="3"/>
    </row>
    <row r="909" spans="5:6" x14ac:dyDescent="0.25">
      <c r="E909" s="3"/>
      <c r="F909" s="3"/>
    </row>
    <row r="910" spans="5:6" x14ac:dyDescent="0.25">
      <c r="E910" s="3"/>
      <c r="F910" s="3"/>
    </row>
    <row r="911" spans="5:6" x14ac:dyDescent="0.25">
      <c r="E911" s="3"/>
      <c r="F911" s="3"/>
    </row>
    <row r="912" spans="5:6" x14ac:dyDescent="0.25">
      <c r="E912" s="3"/>
      <c r="F912" s="3"/>
    </row>
    <row r="913" spans="5:6" x14ac:dyDescent="0.25">
      <c r="E913" s="3"/>
      <c r="F913" s="3"/>
    </row>
    <row r="914" spans="5:6" x14ac:dyDescent="0.25">
      <c r="E914" s="3"/>
      <c r="F914" s="3"/>
    </row>
    <row r="915" spans="5:6" x14ac:dyDescent="0.25">
      <c r="E915" s="3"/>
      <c r="F915" s="3"/>
    </row>
    <row r="916" spans="5:6" x14ac:dyDescent="0.25">
      <c r="E916" s="3"/>
      <c r="F916" s="3"/>
    </row>
    <row r="917" spans="5:6" x14ac:dyDescent="0.25">
      <c r="E917" s="3"/>
      <c r="F917" s="3"/>
    </row>
    <row r="918" spans="5:6" x14ac:dyDescent="0.25">
      <c r="E918" s="3"/>
      <c r="F918" s="3"/>
    </row>
    <row r="919" spans="5:6" x14ac:dyDescent="0.25">
      <c r="E919" s="3"/>
      <c r="F919" s="3"/>
    </row>
    <row r="920" spans="5:6" x14ac:dyDescent="0.25">
      <c r="E920" s="3"/>
      <c r="F920" s="3"/>
    </row>
    <row r="921" spans="5:6" x14ac:dyDescent="0.25">
      <c r="E921" s="3"/>
      <c r="F921" s="3"/>
    </row>
    <row r="922" spans="5:6" x14ac:dyDescent="0.25">
      <c r="E922" s="3"/>
      <c r="F922" s="3"/>
    </row>
    <row r="923" spans="5:6" x14ac:dyDescent="0.25">
      <c r="E923" s="3"/>
      <c r="F923" s="3"/>
    </row>
    <row r="924" spans="5:6" x14ac:dyDescent="0.25">
      <c r="E924" s="3"/>
      <c r="F924" s="3"/>
    </row>
    <row r="925" spans="5:6" x14ac:dyDescent="0.25">
      <c r="E925" s="3"/>
      <c r="F925" s="3"/>
    </row>
    <row r="926" spans="5:6" x14ac:dyDescent="0.25">
      <c r="E926" s="3"/>
      <c r="F926" s="3"/>
    </row>
    <row r="927" spans="5:6" x14ac:dyDescent="0.25">
      <c r="E927" s="3"/>
      <c r="F927" s="3"/>
    </row>
    <row r="928" spans="5:6" x14ac:dyDescent="0.25">
      <c r="E928" s="3"/>
      <c r="F928" s="3"/>
    </row>
    <row r="929" spans="5:6" x14ac:dyDescent="0.25">
      <c r="E929" s="3"/>
      <c r="F929" s="3"/>
    </row>
    <row r="930" spans="5:6" x14ac:dyDescent="0.25">
      <c r="E930" s="3"/>
      <c r="F930" s="3"/>
    </row>
    <row r="931" spans="5:6" x14ac:dyDescent="0.25">
      <c r="E931" s="3"/>
      <c r="F931" s="3"/>
    </row>
    <row r="932" spans="5:6" x14ac:dyDescent="0.25">
      <c r="E932" s="3"/>
      <c r="F932" s="3"/>
    </row>
    <row r="933" spans="5:6" x14ac:dyDescent="0.25">
      <c r="E933" s="3"/>
      <c r="F933" s="3"/>
    </row>
    <row r="934" spans="5:6" x14ac:dyDescent="0.25">
      <c r="E934" s="3"/>
      <c r="F934" s="3"/>
    </row>
    <row r="935" spans="5:6" x14ac:dyDescent="0.25">
      <c r="E935" s="3"/>
      <c r="F935" s="3"/>
    </row>
    <row r="936" spans="5:6" x14ac:dyDescent="0.25">
      <c r="E936" s="3"/>
      <c r="F936" s="3"/>
    </row>
    <row r="937" spans="5:6" x14ac:dyDescent="0.25">
      <c r="E937" s="3"/>
      <c r="F937" s="3"/>
    </row>
    <row r="938" spans="5:6" x14ac:dyDescent="0.25">
      <c r="E938" s="3"/>
      <c r="F938" s="3"/>
    </row>
    <row r="939" spans="5:6" x14ac:dyDescent="0.25">
      <c r="E939" s="3"/>
      <c r="F939" s="3"/>
    </row>
    <row r="940" spans="5:6" x14ac:dyDescent="0.25">
      <c r="E940" s="3"/>
      <c r="F940" s="3"/>
    </row>
    <row r="941" spans="5:6" x14ac:dyDescent="0.25">
      <c r="E941" s="3"/>
      <c r="F941" s="3"/>
    </row>
    <row r="942" spans="5:6" x14ac:dyDescent="0.25">
      <c r="E942" s="3"/>
      <c r="F942" s="3"/>
    </row>
    <row r="943" spans="5:6" x14ac:dyDescent="0.25">
      <c r="E943" s="3"/>
      <c r="F943" s="3"/>
    </row>
    <row r="944" spans="5:6" x14ac:dyDescent="0.25">
      <c r="E944" s="3"/>
      <c r="F944" s="3"/>
    </row>
    <row r="945" spans="5:6" x14ac:dyDescent="0.25">
      <c r="E945" s="3"/>
      <c r="F945" s="3"/>
    </row>
    <row r="946" spans="5:6" x14ac:dyDescent="0.25">
      <c r="E946" s="3"/>
      <c r="F946" s="3"/>
    </row>
    <row r="947" spans="5:6" x14ac:dyDescent="0.25">
      <c r="E947" s="3"/>
      <c r="F947" s="3"/>
    </row>
    <row r="948" spans="5:6" x14ac:dyDescent="0.25">
      <c r="E948" s="3"/>
      <c r="F948" s="3"/>
    </row>
    <row r="949" spans="5:6" x14ac:dyDescent="0.25">
      <c r="E949" s="3"/>
      <c r="F949" s="3"/>
    </row>
    <row r="950" spans="5:6" x14ac:dyDescent="0.25">
      <c r="E950" s="3"/>
      <c r="F950" s="3"/>
    </row>
    <row r="951" spans="5:6" x14ac:dyDescent="0.25">
      <c r="E951" s="3"/>
      <c r="F951" s="3"/>
    </row>
    <row r="952" spans="5:6" x14ac:dyDescent="0.25">
      <c r="E952" s="3"/>
      <c r="F952" s="3"/>
    </row>
    <row r="953" spans="5:6" x14ac:dyDescent="0.25">
      <c r="E953" s="3"/>
      <c r="F953" s="3"/>
    </row>
    <row r="954" spans="5:6" x14ac:dyDescent="0.25">
      <c r="E954" s="3"/>
      <c r="F954" s="3"/>
    </row>
    <row r="955" spans="5:6" x14ac:dyDescent="0.25">
      <c r="E955" s="3"/>
      <c r="F955" s="3"/>
    </row>
    <row r="956" spans="5:6" x14ac:dyDescent="0.25">
      <c r="E956" s="3"/>
      <c r="F956" s="3"/>
    </row>
    <row r="957" spans="5:6" x14ac:dyDescent="0.25">
      <c r="E957" s="3"/>
      <c r="F957" s="3"/>
    </row>
    <row r="958" spans="5:6" x14ac:dyDescent="0.25">
      <c r="E958" s="3"/>
      <c r="F958" s="3"/>
    </row>
    <row r="959" spans="5:6" x14ac:dyDescent="0.25">
      <c r="E959" s="3"/>
      <c r="F959" s="3"/>
    </row>
    <row r="960" spans="5:6" x14ac:dyDescent="0.25">
      <c r="E960" s="3"/>
      <c r="F960" s="3"/>
    </row>
    <row r="961" spans="5:6" x14ac:dyDescent="0.25">
      <c r="E961" s="3"/>
      <c r="F961" s="3"/>
    </row>
    <row r="962" spans="5:6" x14ac:dyDescent="0.25">
      <c r="E962" s="3"/>
      <c r="F962" s="3"/>
    </row>
    <row r="963" spans="5:6" x14ac:dyDescent="0.25">
      <c r="E963" s="3"/>
      <c r="F963" s="3"/>
    </row>
    <row r="964" spans="5:6" x14ac:dyDescent="0.25">
      <c r="E964" s="3"/>
      <c r="F964" s="3"/>
    </row>
    <row r="965" spans="5:6" x14ac:dyDescent="0.25">
      <c r="E965" s="3"/>
      <c r="F965" s="3"/>
    </row>
    <row r="966" spans="5:6" x14ac:dyDescent="0.25">
      <c r="E966" s="3"/>
      <c r="F966" s="3"/>
    </row>
    <row r="967" spans="5:6" x14ac:dyDescent="0.25">
      <c r="E967" s="3"/>
      <c r="F967" s="3"/>
    </row>
    <row r="968" spans="5:6" x14ac:dyDescent="0.25">
      <c r="E968" s="3"/>
      <c r="F968" s="3"/>
    </row>
    <row r="969" spans="5:6" x14ac:dyDescent="0.25">
      <c r="E969" s="3"/>
      <c r="F969" s="3"/>
    </row>
    <row r="970" spans="5:6" x14ac:dyDescent="0.25">
      <c r="E970" s="3"/>
      <c r="F970" s="3"/>
    </row>
    <row r="971" spans="5:6" x14ac:dyDescent="0.25">
      <c r="E971" s="3"/>
      <c r="F971" s="3"/>
    </row>
    <row r="972" spans="5:6" x14ac:dyDescent="0.25">
      <c r="E972" s="3"/>
      <c r="F972" s="3"/>
    </row>
    <row r="973" spans="5:6" x14ac:dyDescent="0.25">
      <c r="E973" s="3"/>
      <c r="F973" s="3"/>
    </row>
    <row r="974" spans="5:6" x14ac:dyDescent="0.25">
      <c r="E974" s="3"/>
      <c r="F974" s="3"/>
    </row>
    <row r="975" spans="5:6" x14ac:dyDescent="0.25">
      <c r="E975" s="3"/>
      <c r="F975" s="3"/>
    </row>
    <row r="976" spans="5:6" x14ac:dyDescent="0.25">
      <c r="E976" s="3"/>
      <c r="F976" s="3"/>
    </row>
    <row r="977" spans="5:6" x14ac:dyDescent="0.25">
      <c r="E977" s="3"/>
      <c r="F977" s="3"/>
    </row>
    <row r="978" spans="5:6" x14ac:dyDescent="0.25">
      <c r="E978" s="3"/>
      <c r="F978" s="3"/>
    </row>
    <row r="979" spans="5:6" x14ac:dyDescent="0.25">
      <c r="E979" s="3"/>
      <c r="F979" s="3"/>
    </row>
    <row r="980" spans="5:6" x14ac:dyDescent="0.25">
      <c r="E980" s="3"/>
      <c r="F980" s="3"/>
    </row>
    <row r="981" spans="5:6" x14ac:dyDescent="0.25">
      <c r="E981" s="3"/>
      <c r="F981" s="3"/>
    </row>
    <row r="982" spans="5:6" x14ac:dyDescent="0.25">
      <c r="E982" s="3"/>
      <c r="F982" s="3"/>
    </row>
    <row r="983" spans="5:6" x14ac:dyDescent="0.25">
      <c r="E983" s="3"/>
      <c r="F983" s="3"/>
    </row>
    <row r="984" spans="5:6" x14ac:dyDescent="0.25">
      <c r="E984" s="3"/>
      <c r="F984" s="3"/>
    </row>
    <row r="985" spans="5:6" x14ac:dyDescent="0.25">
      <c r="E985" s="3"/>
      <c r="F985" s="3"/>
    </row>
    <row r="986" spans="5:6" x14ac:dyDescent="0.25">
      <c r="E986" s="3"/>
      <c r="F986" s="3"/>
    </row>
    <row r="987" spans="5:6" x14ac:dyDescent="0.25">
      <c r="E987" s="3"/>
      <c r="F987" s="3"/>
    </row>
    <row r="988" spans="5:6" x14ac:dyDescent="0.25">
      <c r="E988" s="3"/>
      <c r="F988" s="3"/>
    </row>
    <row r="989" spans="5:6" x14ac:dyDescent="0.25">
      <c r="E989" s="3"/>
      <c r="F989" s="3"/>
    </row>
    <row r="990" spans="5:6" x14ac:dyDescent="0.25">
      <c r="E990" s="3"/>
      <c r="F990" s="3"/>
    </row>
    <row r="991" spans="5:6" x14ac:dyDescent="0.25">
      <c r="E991" s="3"/>
      <c r="F991" s="3"/>
    </row>
    <row r="992" spans="5:6" x14ac:dyDescent="0.25">
      <c r="E992" s="3"/>
      <c r="F992" s="3"/>
    </row>
    <row r="993" spans="5:6" x14ac:dyDescent="0.25">
      <c r="E993" s="3"/>
      <c r="F993" s="3"/>
    </row>
    <row r="994" spans="5:6" x14ac:dyDescent="0.25">
      <c r="E994" s="3"/>
      <c r="F994" s="3"/>
    </row>
    <row r="995" spans="5:6" x14ac:dyDescent="0.25">
      <c r="E995" s="3"/>
      <c r="F995" s="3"/>
    </row>
    <row r="996" spans="5:6" x14ac:dyDescent="0.25">
      <c r="E996" s="3"/>
      <c r="F996" s="3"/>
    </row>
    <row r="997" spans="5:6" x14ac:dyDescent="0.25">
      <c r="E997" s="3"/>
      <c r="F997" s="3"/>
    </row>
    <row r="998" spans="5:6" x14ac:dyDescent="0.25">
      <c r="E998" s="3"/>
      <c r="F998" s="3"/>
    </row>
    <row r="999" spans="5:6" x14ac:dyDescent="0.25">
      <c r="E999" s="3"/>
      <c r="F999" s="3"/>
    </row>
    <row r="1000" spans="5:6" x14ac:dyDescent="0.25">
      <c r="E1000" s="3"/>
      <c r="F1000" s="3"/>
    </row>
    <row r="1001" spans="5:6" x14ac:dyDescent="0.25">
      <c r="E1001" s="3"/>
      <c r="F1001" s="3"/>
    </row>
    <row r="1002" spans="5:6" x14ac:dyDescent="0.25">
      <c r="E1002" s="3"/>
      <c r="F1002" s="3"/>
    </row>
    <row r="1003" spans="5:6" x14ac:dyDescent="0.25">
      <c r="E1003" s="3"/>
      <c r="F1003" s="3"/>
    </row>
    <row r="1004" spans="5:6" x14ac:dyDescent="0.25">
      <c r="E1004" s="3"/>
      <c r="F1004" s="3"/>
    </row>
    <row r="1005" spans="5:6" x14ac:dyDescent="0.25">
      <c r="E1005" s="3"/>
      <c r="F1005" s="3"/>
    </row>
    <row r="1006" spans="5:6" x14ac:dyDescent="0.25">
      <c r="E1006" s="3"/>
      <c r="F1006" s="3"/>
    </row>
    <row r="1007" spans="5:6" x14ac:dyDescent="0.25">
      <c r="E1007" s="3"/>
      <c r="F1007" s="3"/>
    </row>
    <row r="1008" spans="5:6" x14ac:dyDescent="0.25">
      <c r="E1008" s="3"/>
      <c r="F1008" s="3"/>
    </row>
    <row r="1009" spans="5:6" x14ac:dyDescent="0.25">
      <c r="E1009" s="3"/>
      <c r="F1009" s="3"/>
    </row>
    <row r="1010" spans="5:6" x14ac:dyDescent="0.25">
      <c r="E1010" s="3"/>
      <c r="F1010" s="3"/>
    </row>
    <row r="1011" spans="5:6" x14ac:dyDescent="0.25">
      <c r="E1011" s="3"/>
      <c r="F1011" s="3"/>
    </row>
    <row r="1012" spans="5:6" x14ac:dyDescent="0.25">
      <c r="E1012" s="3"/>
      <c r="F1012" s="3"/>
    </row>
    <row r="1013" spans="5:6" x14ac:dyDescent="0.25">
      <c r="E1013" s="3"/>
      <c r="F1013" s="3"/>
    </row>
    <row r="1014" spans="5:6" x14ac:dyDescent="0.25">
      <c r="E1014" s="3"/>
      <c r="F1014" s="3"/>
    </row>
    <row r="1015" spans="5:6" x14ac:dyDescent="0.25">
      <c r="E1015" s="3"/>
      <c r="F1015" s="3"/>
    </row>
    <row r="1016" spans="5:6" x14ac:dyDescent="0.25">
      <c r="E1016" s="3"/>
      <c r="F1016" s="3"/>
    </row>
    <row r="1017" spans="5:6" x14ac:dyDescent="0.25">
      <c r="E1017" s="3"/>
      <c r="F1017" s="3"/>
    </row>
    <row r="1018" spans="5:6" x14ac:dyDescent="0.25">
      <c r="E1018" s="3"/>
      <c r="F1018" s="3"/>
    </row>
    <row r="1019" spans="5:6" x14ac:dyDescent="0.25">
      <c r="E1019" s="3"/>
      <c r="F1019" s="3"/>
    </row>
    <row r="1020" spans="5:6" x14ac:dyDescent="0.25">
      <c r="E1020" s="3"/>
      <c r="F1020" s="3"/>
    </row>
    <row r="1021" spans="5:6" x14ac:dyDescent="0.25">
      <c r="E1021" s="3"/>
      <c r="F1021" s="3"/>
    </row>
    <row r="1022" spans="5:6" x14ac:dyDescent="0.25">
      <c r="E1022" s="3"/>
      <c r="F1022" s="3"/>
    </row>
    <row r="1023" spans="5:6" x14ac:dyDescent="0.25">
      <c r="E1023" s="3"/>
      <c r="F1023" s="3"/>
    </row>
    <row r="1024" spans="5:6" x14ac:dyDescent="0.25">
      <c r="E1024" s="3"/>
      <c r="F1024" s="3"/>
    </row>
    <row r="1025" spans="5:6" x14ac:dyDescent="0.25">
      <c r="E1025" s="3"/>
      <c r="F1025" s="3"/>
    </row>
    <row r="1026" spans="5:6" x14ac:dyDescent="0.25">
      <c r="E1026" s="3"/>
      <c r="F1026" s="3"/>
    </row>
    <row r="1027" spans="5:6" x14ac:dyDescent="0.25">
      <c r="E1027" s="3"/>
      <c r="F1027" s="3"/>
    </row>
    <row r="1028" spans="5:6" x14ac:dyDescent="0.25">
      <c r="E1028" s="3"/>
      <c r="F1028" s="3"/>
    </row>
    <row r="1029" spans="5:6" x14ac:dyDescent="0.25">
      <c r="E1029" s="3"/>
      <c r="F1029" s="3"/>
    </row>
    <row r="1030" spans="5:6" x14ac:dyDescent="0.25">
      <c r="E1030" s="3"/>
      <c r="F1030" s="3"/>
    </row>
    <row r="1031" spans="5:6" x14ac:dyDescent="0.25">
      <c r="E1031" s="3"/>
      <c r="F1031" s="3"/>
    </row>
    <row r="1032" spans="5:6" x14ac:dyDescent="0.25">
      <c r="E1032" s="3"/>
      <c r="F1032" s="3"/>
    </row>
    <row r="1033" spans="5:6" x14ac:dyDescent="0.25">
      <c r="E1033" s="3"/>
      <c r="F1033" s="3"/>
    </row>
    <row r="1034" spans="5:6" x14ac:dyDescent="0.25">
      <c r="E1034" s="3"/>
      <c r="F1034" s="3"/>
    </row>
    <row r="1035" spans="5:6" x14ac:dyDescent="0.25">
      <c r="E1035" s="3"/>
      <c r="F1035" s="3"/>
    </row>
    <row r="1036" spans="5:6" x14ac:dyDescent="0.25">
      <c r="E1036" s="3"/>
      <c r="F1036" s="3"/>
    </row>
    <row r="1037" spans="5:6" x14ac:dyDescent="0.25">
      <c r="E1037" s="3"/>
      <c r="F1037" s="3"/>
    </row>
    <row r="1038" spans="5:6" x14ac:dyDescent="0.25">
      <c r="E1038" s="3"/>
      <c r="F1038" s="3"/>
    </row>
    <row r="1039" spans="5:6" x14ac:dyDescent="0.25">
      <c r="E1039" s="3"/>
      <c r="F1039" s="3"/>
    </row>
    <row r="1040" spans="5:6" x14ac:dyDescent="0.25">
      <c r="E1040" s="3"/>
      <c r="F1040" s="3"/>
    </row>
    <row r="1041" spans="5:6" x14ac:dyDescent="0.25">
      <c r="E1041" s="3"/>
      <c r="F1041" s="3"/>
    </row>
    <row r="1042" spans="5:6" x14ac:dyDescent="0.25">
      <c r="E1042" s="3"/>
      <c r="F1042" s="3"/>
    </row>
    <row r="1043" spans="5:6" x14ac:dyDescent="0.25">
      <c r="E1043" s="3"/>
      <c r="F1043" s="3"/>
    </row>
    <row r="1044" spans="5:6" x14ac:dyDescent="0.25">
      <c r="E1044" s="3"/>
      <c r="F1044" s="3"/>
    </row>
    <row r="1045" spans="5:6" x14ac:dyDescent="0.25">
      <c r="E1045" s="3"/>
      <c r="F1045" s="3"/>
    </row>
    <row r="1046" spans="5:6" x14ac:dyDescent="0.25">
      <c r="E1046" s="3"/>
      <c r="F1046" s="3"/>
    </row>
    <row r="1047" spans="5:6" x14ac:dyDescent="0.25">
      <c r="E1047" s="3"/>
      <c r="F1047" s="3"/>
    </row>
    <row r="1048" spans="5:6" x14ac:dyDescent="0.25">
      <c r="E1048" s="3"/>
      <c r="F1048" s="3"/>
    </row>
    <row r="1049" spans="5:6" x14ac:dyDescent="0.25">
      <c r="E1049" s="3"/>
      <c r="F1049" s="3"/>
    </row>
    <row r="1050" spans="5:6" x14ac:dyDescent="0.25">
      <c r="E1050" s="3"/>
      <c r="F1050" s="3"/>
    </row>
    <row r="1051" spans="5:6" x14ac:dyDescent="0.25">
      <c r="E1051" s="3"/>
      <c r="F1051" s="3"/>
    </row>
    <row r="1052" spans="5:6" x14ac:dyDescent="0.25">
      <c r="E1052" s="3"/>
      <c r="F1052" s="3"/>
    </row>
    <row r="1053" spans="5:6" x14ac:dyDescent="0.25">
      <c r="E1053" s="3"/>
      <c r="F1053" s="3"/>
    </row>
    <row r="1054" spans="5:6" x14ac:dyDescent="0.25">
      <c r="E1054" s="3"/>
      <c r="F1054" s="3"/>
    </row>
    <row r="1055" spans="5:6" x14ac:dyDescent="0.25">
      <c r="E1055" s="3"/>
      <c r="F1055" s="3"/>
    </row>
    <row r="1056" spans="5:6" x14ac:dyDescent="0.25">
      <c r="E1056" s="3"/>
      <c r="F1056" s="3"/>
    </row>
    <row r="1057" spans="5:6" x14ac:dyDescent="0.25">
      <c r="E1057" s="3"/>
      <c r="F1057" s="3"/>
    </row>
    <row r="1058" spans="5:6" x14ac:dyDescent="0.25">
      <c r="E1058" s="3"/>
      <c r="F1058" s="3"/>
    </row>
    <row r="1059" spans="5:6" x14ac:dyDescent="0.25">
      <c r="E1059" s="3"/>
      <c r="F1059" s="3"/>
    </row>
    <row r="1060" spans="5:6" x14ac:dyDescent="0.25">
      <c r="E1060" s="3"/>
      <c r="F1060" s="3"/>
    </row>
    <row r="1061" spans="5:6" x14ac:dyDescent="0.25">
      <c r="E1061" s="3"/>
      <c r="F1061" s="3"/>
    </row>
    <row r="1062" spans="5:6" x14ac:dyDescent="0.25">
      <c r="E1062" s="3"/>
      <c r="F1062" s="3"/>
    </row>
    <row r="1063" spans="5:6" x14ac:dyDescent="0.25">
      <c r="E1063" s="3"/>
      <c r="F1063" s="3"/>
    </row>
    <row r="1064" spans="5:6" x14ac:dyDescent="0.25">
      <c r="E1064" s="3"/>
      <c r="F1064" s="3"/>
    </row>
    <row r="1065" spans="5:6" x14ac:dyDescent="0.25">
      <c r="E1065" s="3"/>
      <c r="F1065" s="3"/>
    </row>
    <row r="1066" spans="5:6" x14ac:dyDescent="0.25">
      <c r="E1066" s="3"/>
      <c r="F1066" s="3"/>
    </row>
    <row r="1067" spans="5:6" x14ac:dyDescent="0.25">
      <c r="E1067" s="3"/>
      <c r="F1067" s="3"/>
    </row>
    <row r="1068" spans="5:6" x14ac:dyDescent="0.25">
      <c r="E1068" s="3"/>
      <c r="F1068" s="3"/>
    </row>
    <row r="1069" spans="5:6" x14ac:dyDescent="0.25">
      <c r="E1069" s="3"/>
      <c r="F1069" s="3"/>
    </row>
    <row r="1070" spans="5:6" x14ac:dyDescent="0.25">
      <c r="E1070" s="3"/>
      <c r="F1070" s="3"/>
    </row>
    <row r="1071" spans="5:6" x14ac:dyDescent="0.25">
      <c r="E1071" s="3"/>
      <c r="F1071" s="3"/>
    </row>
    <row r="1072" spans="5:6" x14ac:dyDescent="0.25">
      <c r="E1072" s="3"/>
      <c r="F1072" s="3"/>
    </row>
    <row r="1073" spans="5:6" x14ac:dyDescent="0.25">
      <c r="E1073" s="3"/>
      <c r="F1073" s="3"/>
    </row>
    <row r="1074" spans="5:6" x14ac:dyDescent="0.25">
      <c r="E1074" s="3"/>
      <c r="F1074" s="3"/>
    </row>
    <row r="1075" spans="5:6" x14ac:dyDescent="0.25">
      <c r="E1075" s="3"/>
      <c r="F1075" s="3"/>
    </row>
    <row r="1076" spans="5:6" x14ac:dyDescent="0.25">
      <c r="E1076" s="3"/>
      <c r="F1076" s="3"/>
    </row>
    <row r="1077" spans="5:6" x14ac:dyDescent="0.25">
      <c r="E1077" s="3"/>
      <c r="F1077" s="3"/>
    </row>
    <row r="1078" spans="5:6" x14ac:dyDescent="0.25">
      <c r="E1078" s="3"/>
      <c r="F1078" s="3"/>
    </row>
    <row r="1079" spans="5:6" x14ac:dyDescent="0.25">
      <c r="E1079" s="3"/>
      <c r="F1079" s="3"/>
    </row>
    <row r="1080" spans="5:6" x14ac:dyDescent="0.25">
      <c r="E1080" s="3"/>
      <c r="F1080" s="3"/>
    </row>
    <row r="1081" spans="5:6" x14ac:dyDescent="0.25">
      <c r="E1081" s="3"/>
      <c r="F1081" s="3"/>
    </row>
    <row r="1082" spans="5:6" x14ac:dyDescent="0.25">
      <c r="E1082" s="3"/>
      <c r="F1082" s="3"/>
    </row>
    <row r="1083" spans="5:6" x14ac:dyDescent="0.25">
      <c r="E1083" s="3"/>
      <c r="F1083" s="3"/>
    </row>
    <row r="1084" spans="5:6" x14ac:dyDescent="0.25">
      <c r="E1084" s="3"/>
      <c r="F1084" s="3"/>
    </row>
    <row r="1085" spans="5:6" x14ac:dyDescent="0.25">
      <c r="E1085" s="3"/>
      <c r="F1085" s="3"/>
    </row>
    <row r="1086" spans="5:6" x14ac:dyDescent="0.25">
      <c r="E1086" s="3"/>
      <c r="F1086" s="3"/>
    </row>
    <row r="1087" spans="5:6" x14ac:dyDescent="0.25">
      <c r="E1087" s="3"/>
      <c r="F1087" s="3"/>
    </row>
    <row r="1088" spans="5:6" x14ac:dyDescent="0.25">
      <c r="E1088" s="3"/>
      <c r="F1088" s="3"/>
    </row>
    <row r="1089" spans="5:6" x14ac:dyDescent="0.25">
      <c r="E1089" s="3"/>
      <c r="F1089" s="3"/>
    </row>
    <row r="1090" spans="5:6" x14ac:dyDescent="0.25">
      <c r="E1090" s="3"/>
      <c r="F1090" s="3"/>
    </row>
    <row r="1091" spans="5:6" x14ac:dyDescent="0.25">
      <c r="E1091" s="3"/>
      <c r="F1091" s="3"/>
    </row>
    <row r="1092" spans="5:6" x14ac:dyDescent="0.25">
      <c r="E1092" s="3"/>
      <c r="F1092" s="3"/>
    </row>
    <row r="1093" spans="5:6" x14ac:dyDescent="0.25">
      <c r="E1093" s="3"/>
      <c r="F1093" s="3"/>
    </row>
    <row r="1094" spans="5:6" x14ac:dyDescent="0.25">
      <c r="E1094" s="3"/>
      <c r="F1094" s="3"/>
    </row>
    <row r="1095" spans="5:6" x14ac:dyDescent="0.25">
      <c r="E1095" s="3"/>
      <c r="F1095" s="3"/>
    </row>
    <row r="1096" spans="5:6" x14ac:dyDescent="0.25">
      <c r="E1096" s="3"/>
      <c r="F1096" s="3"/>
    </row>
    <row r="1097" spans="5:6" x14ac:dyDescent="0.25">
      <c r="E1097" s="3"/>
      <c r="F1097" s="3"/>
    </row>
    <row r="1098" spans="5:6" x14ac:dyDescent="0.25">
      <c r="E1098" s="3"/>
      <c r="F1098" s="3"/>
    </row>
    <row r="1099" spans="5:6" x14ac:dyDescent="0.25">
      <c r="E1099" s="3"/>
      <c r="F1099" s="3"/>
    </row>
    <row r="1100" spans="5:6" x14ac:dyDescent="0.25">
      <c r="E1100" s="3"/>
      <c r="F1100" s="3"/>
    </row>
    <row r="1101" spans="5:6" x14ac:dyDescent="0.25">
      <c r="E1101" s="3"/>
      <c r="F1101" s="3"/>
    </row>
    <row r="1102" spans="5:6" x14ac:dyDescent="0.25">
      <c r="E1102" s="3"/>
      <c r="F1102" s="3"/>
    </row>
    <row r="1103" spans="5:6" x14ac:dyDescent="0.25">
      <c r="E1103" s="3"/>
      <c r="F1103" s="3"/>
    </row>
    <row r="1104" spans="5:6" x14ac:dyDescent="0.25">
      <c r="E1104" s="3"/>
      <c r="F1104" s="3"/>
    </row>
    <row r="1105" spans="5:6" x14ac:dyDescent="0.25">
      <c r="E1105" s="3"/>
      <c r="F1105" s="3"/>
    </row>
    <row r="1106" spans="5:6" x14ac:dyDescent="0.25">
      <c r="E1106" s="3"/>
      <c r="F1106" s="3"/>
    </row>
    <row r="1107" spans="5:6" x14ac:dyDescent="0.25">
      <c r="E1107" s="3"/>
      <c r="F1107" s="3"/>
    </row>
    <row r="1108" spans="5:6" x14ac:dyDescent="0.25">
      <c r="E1108" s="3"/>
      <c r="F1108" s="3"/>
    </row>
    <row r="1109" spans="5:6" x14ac:dyDescent="0.25">
      <c r="E1109" s="3"/>
      <c r="F1109" s="3"/>
    </row>
    <row r="1110" spans="5:6" x14ac:dyDescent="0.25">
      <c r="E1110" s="3"/>
      <c r="F1110" s="3"/>
    </row>
    <row r="1111" spans="5:6" x14ac:dyDescent="0.25">
      <c r="E1111" s="3"/>
      <c r="F1111" s="3"/>
    </row>
    <row r="1112" spans="5:6" x14ac:dyDescent="0.25">
      <c r="E1112" s="3"/>
      <c r="F1112" s="3"/>
    </row>
    <row r="1113" spans="5:6" x14ac:dyDescent="0.25">
      <c r="E1113" s="3"/>
      <c r="F1113" s="3"/>
    </row>
    <row r="1114" spans="5:6" x14ac:dyDescent="0.25">
      <c r="E1114" s="3"/>
      <c r="F1114" s="3"/>
    </row>
    <row r="1115" spans="5:6" x14ac:dyDescent="0.25">
      <c r="E1115" s="3"/>
      <c r="F1115" s="3"/>
    </row>
    <row r="1116" spans="5:6" x14ac:dyDescent="0.25">
      <c r="E1116" s="3"/>
      <c r="F1116" s="3"/>
    </row>
    <row r="1117" spans="5:6" x14ac:dyDescent="0.25">
      <c r="E1117" s="3"/>
      <c r="F1117" s="3"/>
    </row>
    <row r="1118" spans="5:6" x14ac:dyDescent="0.25">
      <c r="E1118" s="3"/>
      <c r="F1118" s="3"/>
    </row>
    <row r="1119" spans="5:6" x14ac:dyDescent="0.25">
      <c r="E1119" s="3"/>
      <c r="F1119" s="3"/>
    </row>
    <row r="1120" spans="5:6" x14ac:dyDescent="0.25">
      <c r="E1120" s="3"/>
      <c r="F1120" s="3"/>
    </row>
    <row r="1121" spans="5:6" x14ac:dyDescent="0.25">
      <c r="E1121" s="3"/>
      <c r="F1121" s="3"/>
    </row>
    <row r="1122" spans="5:6" x14ac:dyDescent="0.25">
      <c r="E1122" s="3"/>
      <c r="F1122" s="3"/>
    </row>
    <row r="1123" spans="5:6" x14ac:dyDescent="0.25">
      <c r="E1123" s="3"/>
      <c r="F1123" s="3"/>
    </row>
    <row r="1124" spans="5:6" x14ac:dyDescent="0.25">
      <c r="E1124" s="3"/>
      <c r="F1124" s="3"/>
    </row>
    <row r="1125" spans="5:6" x14ac:dyDescent="0.25">
      <c r="E1125" s="3"/>
      <c r="F1125" s="3"/>
    </row>
    <row r="1126" spans="5:6" x14ac:dyDescent="0.25">
      <c r="E1126" s="3"/>
      <c r="F1126" s="3"/>
    </row>
    <row r="1127" spans="5:6" x14ac:dyDescent="0.25">
      <c r="E1127" s="3"/>
      <c r="F1127" s="3"/>
    </row>
    <row r="1128" spans="5:6" x14ac:dyDescent="0.25">
      <c r="E1128" s="3"/>
      <c r="F1128" s="3"/>
    </row>
    <row r="1129" spans="5:6" x14ac:dyDescent="0.25">
      <c r="E1129" s="3"/>
      <c r="F1129" s="3"/>
    </row>
    <row r="1130" spans="5:6" x14ac:dyDescent="0.25">
      <c r="E1130" s="3"/>
      <c r="F1130" s="3"/>
    </row>
    <row r="1131" spans="5:6" x14ac:dyDescent="0.25">
      <c r="E1131" s="3"/>
      <c r="F1131" s="3"/>
    </row>
    <row r="1132" spans="5:6" x14ac:dyDescent="0.25">
      <c r="E1132" s="3"/>
      <c r="F1132" s="3"/>
    </row>
    <row r="1133" spans="5:6" x14ac:dyDescent="0.25">
      <c r="E1133" s="3"/>
      <c r="F1133" s="3"/>
    </row>
    <row r="1134" spans="5:6" x14ac:dyDescent="0.25">
      <c r="E1134" s="3"/>
      <c r="F1134" s="3"/>
    </row>
    <row r="1135" spans="5:6" x14ac:dyDescent="0.25">
      <c r="E1135" s="3"/>
      <c r="F1135" s="3"/>
    </row>
    <row r="1136" spans="5:6" x14ac:dyDescent="0.25">
      <c r="E1136" s="3"/>
      <c r="F1136" s="3"/>
    </row>
    <row r="1137" spans="5:6" x14ac:dyDescent="0.25">
      <c r="E1137" s="3"/>
      <c r="F1137" s="3"/>
    </row>
    <row r="1138" spans="5:6" x14ac:dyDescent="0.25">
      <c r="E1138" s="3"/>
      <c r="F1138" s="3"/>
    </row>
    <row r="1139" spans="5:6" x14ac:dyDescent="0.25">
      <c r="E1139" s="3"/>
      <c r="F1139" s="3"/>
    </row>
    <row r="1140" spans="5:6" x14ac:dyDescent="0.25">
      <c r="E1140" s="3"/>
      <c r="F1140" s="3"/>
    </row>
    <row r="1141" spans="5:6" x14ac:dyDescent="0.25">
      <c r="E1141" s="3"/>
      <c r="F1141" s="3"/>
    </row>
    <row r="1142" spans="5:6" x14ac:dyDescent="0.25">
      <c r="E1142" s="3"/>
      <c r="F1142" s="3"/>
    </row>
    <row r="1143" spans="5:6" x14ac:dyDescent="0.25">
      <c r="E1143" s="3"/>
      <c r="F1143" s="3"/>
    </row>
    <row r="1144" spans="5:6" x14ac:dyDescent="0.25">
      <c r="E1144" s="3"/>
      <c r="F1144" s="3"/>
    </row>
    <row r="1145" spans="5:6" x14ac:dyDescent="0.25">
      <c r="E1145" s="3"/>
      <c r="F1145" s="3"/>
    </row>
    <row r="1146" spans="5:6" x14ac:dyDescent="0.25">
      <c r="E1146" s="3"/>
      <c r="F1146" s="3"/>
    </row>
    <row r="1147" spans="5:6" x14ac:dyDescent="0.25">
      <c r="E1147" s="3"/>
      <c r="F1147" s="3"/>
    </row>
    <row r="1148" spans="5:6" x14ac:dyDescent="0.25">
      <c r="E1148" s="3"/>
      <c r="F1148" s="3"/>
    </row>
    <row r="1149" spans="5:6" x14ac:dyDescent="0.25">
      <c r="E1149" s="3"/>
      <c r="F1149" s="3"/>
    </row>
    <row r="1150" spans="5:6" x14ac:dyDescent="0.25">
      <c r="E1150" s="3"/>
      <c r="F1150" s="3"/>
    </row>
    <row r="1151" spans="5:6" x14ac:dyDescent="0.25">
      <c r="E1151" s="3"/>
      <c r="F1151" s="3"/>
    </row>
    <row r="1152" spans="5:6" x14ac:dyDescent="0.25">
      <c r="E1152" s="3"/>
      <c r="F1152" s="3"/>
    </row>
    <row r="1153" spans="5:6" x14ac:dyDescent="0.25">
      <c r="E1153" s="3"/>
      <c r="F1153" s="3"/>
    </row>
    <row r="1154" spans="5:6" x14ac:dyDescent="0.25">
      <c r="E1154" s="3"/>
      <c r="F1154" s="3"/>
    </row>
    <row r="1155" spans="5:6" x14ac:dyDescent="0.25">
      <c r="E1155" s="3"/>
      <c r="F1155" s="3"/>
    </row>
    <row r="1156" spans="5:6" x14ac:dyDescent="0.25">
      <c r="E1156" s="3"/>
      <c r="F1156" s="3"/>
    </row>
    <row r="1157" spans="5:6" x14ac:dyDescent="0.25">
      <c r="E1157" s="3"/>
      <c r="F1157" s="3"/>
    </row>
    <row r="1158" spans="5:6" x14ac:dyDescent="0.25">
      <c r="E1158" s="3"/>
      <c r="F1158" s="3"/>
    </row>
    <row r="1159" spans="5:6" x14ac:dyDescent="0.25">
      <c r="E1159" s="3"/>
      <c r="F1159" s="3"/>
    </row>
    <row r="1160" spans="5:6" x14ac:dyDescent="0.25">
      <c r="E1160" s="3"/>
      <c r="F1160" s="3"/>
    </row>
    <row r="1161" spans="5:6" x14ac:dyDescent="0.25">
      <c r="E1161" s="3"/>
      <c r="F1161" s="3"/>
    </row>
    <row r="1162" spans="5:6" x14ac:dyDescent="0.25">
      <c r="E1162" s="3"/>
      <c r="F1162" s="3"/>
    </row>
    <row r="1163" spans="5:6" x14ac:dyDescent="0.25">
      <c r="E1163" s="3"/>
      <c r="F1163" s="3"/>
    </row>
    <row r="1164" spans="5:6" x14ac:dyDescent="0.25">
      <c r="E1164" s="3"/>
      <c r="F1164" s="3"/>
    </row>
    <row r="1165" spans="5:6" x14ac:dyDescent="0.25">
      <c r="E1165" s="3"/>
      <c r="F1165" s="3"/>
    </row>
    <row r="1166" spans="5:6" x14ac:dyDescent="0.25">
      <c r="E1166" s="3"/>
      <c r="F1166" s="3"/>
    </row>
    <row r="1167" spans="5:6" x14ac:dyDescent="0.25">
      <c r="E1167" s="3"/>
      <c r="F1167" s="3"/>
    </row>
    <row r="1168" spans="5:6" x14ac:dyDescent="0.25">
      <c r="E1168" s="3"/>
      <c r="F1168" s="3"/>
    </row>
    <row r="1169" spans="5:6" x14ac:dyDescent="0.25">
      <c r="E1169" s="3"/>
      <c r="F1169" s="3"/>
    </row>
    <row r="1170" spans="5:6" x14ac:dyDescent="0.25">
      <c r="E1170" s="3"/>
      <c r="F1170" s="3"/>
    </row>
    <row r="1171" spans="5:6" x14ac:dyDescent="0.25">
      <c r="E1171" s="3"/>
      <c r="F1171" s="3"/>
    </row>
    <row r="1172" spans="5:6" x14ac:dyDescent="0.25">
      <c r="E1172" s="3"/>
      <c r="F1172" s="3"/>
    </row>
    <row r="1173" spans="5:6" x14ac:dyDescent="0.25">
      <c r="E1173" s="3"/>
      <c r="F1173" s="3"/>
    </row>
    <row r="1174" spans="5:6" x14ac:dyDescent="0.25">
      <c r="E1174" s="3"/>
      <c r="F1174" s="3"/>
    </row>
    <row r="1175" spans="5:6" x14ac:dyDescent="0.25">
      <c r="E1175" s="3"/>
      <c r="F1175" s="3"/>
    </row>
    <row r="1176" spans="5:6" x14ac:dyDescent="0.25">
      <c r="E1176" s="3"/>
      <c r="F1176" s="3"/>
    </row>
    <row r="1177" spans="5:6" x14ac:dyDescent="0.25">
      <c r="E1177" s="3"/>
      <c r="F1177" s="3"/>
    </row>
    <row r="1178" spans="5:6" x14ac:dyDescent="0.25">
      <c r="E1178" s="3"/>
      <c r="F1178" s="3"/>
    </row>
    <row r="1179" spans="5:6" x14ac:dyDescent="0.25">
      <c r="E1179" s="3"/>
      <c r="F1179" s="3"/>
    </row>
    <row r="1180" spans="5:6" x14ac:dyDescent="0.25">
      <c r="E1180" s="3"/>
      <c r="F1180" s="3"/>
    </row>
    <row r="1181" spans="5:6" x14ac:dyDescent="0.25">
      <c r="E1181" s="3"/>
      <c r="F1181" s="3"/>
    </row>
    <row r="1182" spans="5:6" x14ac:dyDescent="0.25">
      <c r="E1182" s="3"/>
      <c r="F1182" s="3"/>
    </row>
    <row r="1183" spans="5:6" x14ac:dyDescent="0.25">
      <c r="E1183" s="3"/>
      <c r="F1183" s="3"/>
    </row>
    <row r="1184" spans="5:6" x14ac:dyDescent="0.25">
      <c r="E1184" s="3"/>
      <c r="F1184" s="3"/>
    </row>
    <row r="1185" spans="5:6" x14ac:dyDescent="0.25">
      <c r="E1185" s="3"/>
      <c r="F1185" s="3"/>
    </row>
    <row r="1186" spans="5:6" x14ac:dyDescent="0.25">
      <c r="E1186" s="3"/>
      <c r="F1186" s="3"/>
    </row>
    <row r="1187" spans="5:6" x14ac:dyDescent="0.25">
      <c r="E1187" s="3"/>
      <c r="F1187" s="3"/>
    </row>
    <row r="1188" spans="5:6" x14ac:dyDescent="0.25">
      <c r="E1188" s="3"/>
      <c r="F1188" s="3"/>
    </row>
    <row r="1189" spans="5:6" x14ac:dyDescent="0.25">
      <c r="E1189" s="3"/>
      <c r="F1189" s="3"/>
    </row>
    <row r="1190" spans="5:6" x14ac:dyDescent="0.25">
      <c r="E1190" s="3"/>
      <c r="F1190" s="3"/>
    </row>
    <row r="1191" spans="5:6" x14ac:dyDescent="0.25">
      <c r="E1191" s="3"/>
      <c r="F1191" s="3"/>
    </row>
    <row r="1192" spans="5:6" x14ac:dyDescent="0.25">
      <c r="E1192" s="3"/>
      <c r="F1192" s="3"/>
    </row>
    <row r="1193" spans="5:6" x14ac:dyDescent="0.25">
      <c r="E1193" s="3"/>
      <c r="F1193" s="3"/>
    </row>
    <row r="1194" spans="5:6" x14ac:dyDescent="0.25">
      <c r="E1194" s="3"/>
      <c r="F1194" s="3"/>
    </row>
    <row r="1195" spans="5:6" x14ac:dyDescent="0.25">
      <c r="E1195" s="3"/>
      <c r="F1195" s="3"/>
    </row>
    <row r="1196" spans="5:6" x14ac:dyDescent="0.25">
      <c r="E1196" s="3"/>
      <c r="F1196" s="3"/>
    </row>
    <row r="1197" spans="5:6" x14ac:dyDescent="0.25">
      <c r="E1197" s="3"/>
      <c r="F1197" s="3"/>
    </row>
    <row r="1198" spans="5:6" x14ac:dyDescent="0.25">
      <c r="E1198" s="3"/>
      <c r="F1198" s="3"/>
    </row>
    <row r="1199" spans="5:6" x14ac:dyDescent="0.25">
      <c r="E1199" s="3"/>
      <c r="F1199" s="3"/>
    </row>
    <row r="1200" spans="5:6" x14ac:dyDescent="0.25">
      <c r="E1200" s="3"/>
      <c r="F1200" s="3"/>
    </row>
    <row r="1201" spans="5:6" x14ac:dyDescent="0.25">
      <c r="E1201" s="3"/>
      <c r="F1201" s="3"/>
    </row>
    <row r="1202" spans="5:6" x14ac:dyDescent="0.25">
      <c r="E1202" s="3"/>
      <c r="F1202" s="3"/>
    </row>
    <row r="1203" spans="5:6" x14ac:dyDescent="0.25">
      <c r="E1203" s="3"/>
      <c r="F1203" s="3"/>
    </row>
    <row r="1204" spans="5:6" x14ac:dyDescent="0.25">
      <c r="E1204" s="3"/>
      <c r="F1204" s="3"/>
    </row>
    <row r="1205" spans="5:6" x14ac:dyDescent="0.25">
      <c r="E1205" s="3"/>
      <c r="F1205" s="3"/>
    </row>
    <row r="1206" spans="5:6" x14ac:dyDescent="0.25">
      <c r="E1206" s="3"/>
      <c r="F1206" s="3"/>
    </row>
    <row r="1207" spans="5:6" x14ac:dyDescent="0.25">
      <c r="E1207" s="3"/>
      <c r="F1207" s="3"/>
    </row>
    <row r="1208" spans="5:6" x14ac:dyDescent="0.25">
      <c r="E1208" s="3"/>
      <c r="F1208" s="3"/>
    </row>
    <row r="1209" spans="5:6" x14ac:dyDescent="0.25">
      <c r="E1209" s="3"/>
      <c r="F1209" s="3"/>
    </row>
    <row r="1210" spans="5:6" x14ac:dyDescent="0.25">
      <c r="E1210" s="3"/>
      <c r="F1210" s="3"/>
    </row>
    <row r="1211" spans="5:6" x14ac:dyDescent="0.25">
      <c r="E1211" s="3"/>
      <c r="F1211" s="3"/>
    </row>
    <row r="1212" spans="5:6" x14ac:dyDescent="0.25">
      <c r="E1212" s="3"/>
      <c r="F1212" s="3"/>
    </row>
    <row r="1213" spans="5:6" x14ac:dyDescent="0.25">
      <c r="E1213" s="3"/>
      <c r="F1213" s="3"/>
    </row>
    <row r="1214" spans="5:6" x14ac:dyDescent="0.25">
      <c r="E1214" s="3"/>
      <c r="F1214" s="3"/>
    </row>
    <row r="1215" spans="5:6" x14ac:dyDescent="0.25">
      <c r="E1215" s="3"/>
      <c r="F1215" s="3"/>
    </row>
    <row r="1216" spans="5:6" x14ac:dyDescent="0.25">
      <c r="E1216" s="3"/>
      <c r="F1216" s="3"/>
    </row>
    <row r="1217" spans="5:6" x14ac:dyDescent="0.25">
      <c r="E1217" s="3"/>
      <c r="F1217" s="3"/>
    </row>
    <row r="1218" spans="5:6" x14ac:dyDescent="0.25">
      <c r="E1218" s="3"/>
      <c r="F1218" s="3"/>
    </row>
    <row r="1219" spans="5:6" x14ac:dyDescent="0.25">
      <c r="E1219" s="3"/>
      <c r="F1219" s="3"/>
    </row>
    <row r="1220" spans="5:6" x14ac:dyDescent="0.25">
      <c r="E1220" s="3"/>
      <c r="F1220" s="3"/>
    </row>
    <row r="1221" spans="5:6" x14ac:dyDescent="0.25">
      <c r="E1221" s="3"/>
      <c r="F1221" s="3"/>
    </row>
    <row r="1222" spans="5:6" x14ac:dyDescent="0.25">
      <c r="E1222" s="3"/>
      <c r="F1222" s="3"/>
    </row>
    <row r="1223" spans="5:6" x14ac:dyDescent="0.25">
      <c r="E1223" s="3"/>
      <c r="F1223" s="3"/>
    </row>
    <row r="1224" spans="5:6" x14ac:dyDescent="0.25">
      <c r="E1224" s="3"/>
      <c r="F1224" s="3"/>
    </row>
    <row r="1225" spans="5:6" x14ac:dyDescent="0.25">
      <c r="E1225" s="3"/>
      <c r="F1225" s="3"/>
    </row>
    <row r="1226" spans="5:6" x14ac:dyDescent="0.25">
      <c r="E1226" s="3"/>
      <c r="F1226" s="3"/>
    </row>
    <row r="1227" spans="5:6" x14ac:dyDescent="0.25">
      <c r="E1227" s="3"/>
      <c r="F1227" s="3"/>
    </row>
    <row r="1228" spans="5:6" x14ac:dyDescent="0.25">
      <c r="E1228" s="3"/>
      <c r="F1228" s="3"/>
    </row>
    <row r="1229" spans="5:6" x14ac:dyDescent="0.25">
      <c r="E1229" s="3"/>
      <c r="F1229" s="3"/>
    </row>
    <row r="1230" spans="5:6" x14ac:dyDescent="0.25">
      <c r="E1230" s="3"/>
      <c r="F1230" s="3"/>
    </row>
    <row r="1231" spans="5:6" x14ac:dyDescent="0.25">
      <c r="E1231" s="3"/>
      <c r="F1231" s="3"/>
    </row>
    <row r="1232" spans="5:6" x14ac:dyDescent="0.25">
      <c r="E1232" s="3"/>
      <c r="F1232" s="3"/>
    </row>
    <row r="1233" spans="5:6" x14ac:dyDescent="0.25">
      <c r="E1233" s="3"/>
      <c r="F1233" s="3"/>
    </row>
    <row r="1234" spans="5:6" x14ac:dyDescent="0.25">
      <c r="E1234" s="3"/>
      <c r="F1234" s="3"/>
    </row>
    <row r="1235" spans="5:6" x14ac:dyDescent="0.25">
      <c r="E1235" s="3"/>
      <c r="F1235" s="3"/>
    </row>
    <row r="1236" spans="5:6" x14ac:dyDescent="0.25">
      <c r="E1236" s="3"/>
      <c r="F1236" s="3"/>
    </row>
    <row r="1237" spans="5:6" x14ac:dyDescent="0.25">
      <c r="E1237" s="3"/>
      <c r="F1237" s="3"/>
    </row>
    <row r="1238" spans="5:6" x14ac:dyDescent="0.25">
      <c r="E1238" s="3"/>
      <c r="F1238" s="3"/>
    </row>
    <row r="1239" spans="5:6" x14ac:dyDescent="0.25">
      <c r="E1239" s="3"/>
      <c r="F1239" s="3"/>
    </row>
    <row r="1240" spans="5:6" x14ac:dyDescent="0.25">
      <c r="E1240" s="3"/>
      <c r="F1240" s="3"/>
    </row>
    <row r="1241" spans="5:6" x14ac:dyDescent="0.25">
      <c r="E1241" s="3"/>
      <c r="F1241" s="3"/>
    </row>
    <row r="1242" spans="5:6" x14ac:dyDescent="0.25">
      <c r="E1242" s="3"/>
      <c r="F1242" s="3"/>
    </row>
    <row r="1243" spans="5:6" x14ac:dyDescent="0.25">
      <c r="E1243" s="3"/>
      <c r="F1243" s="3"/>
    </row>
    <row r="1244" spans="5:6" x14ac:dyDescent="0.25">
      <c r="E1244" s="3"/>
      <c r="F1244" s="3"/>
    </row>
    <row r="1245" spans="5:6" x14ac:dyDescent="0.25">
      <c r="E1245" s="3"/>
      <c r="F1245" s="3"/>
    </row>
    <row r="1246" spans="5:6" x14ac:dyDescent="0.25">
      <c r="E1246" s="3"/>
      <c r="F1246" s="3"/>
    </row>
    <row r="1247" spans="5:6" x14ac:dyDescent="0.25">
      <c r="E1247" s="3"/>
      <c r="F1247" s="3"/>
    </row>
    <row r="1248" spans="5:6" x14ac:dyDescent="0.25">
      <c r="E1248" s="3"/>
      <c r="F1248" s="3"/>
    </row>
    <row r="1249" spans="5:6" x14ac:dyDescent="0.25">
      <c r="E1249" s="3"/>
      <c r="F1249" s="3"/>
    </row>
    <row r="1250" spans="5:6" x14ac:dyDescent="0.25">
      <c r="E1250" s="3"/>
      <c r="F1250" s="3"/>
    </row>
    <row r="1251" spans="5:6" x14ac:dyDescent="0.25">
      <c r="E1251" s="3"/>
      <c r="F1251" s="3"/>
    </row>
    <row r="1252" spans="5:6" x14ac:dyDescent="0.25">
      <c r="E1252" s="3"/>
      <c r="F1252" s="3"/>
    </row>
    <row r="1253" spans="5:6" x14ac:dyDescent="0.25">
      <c r="E1253" s="3"/>
      <c r="F1253" s="3"/>
    </row>
    <row r="1254" spans="5:6" x14ac:dyDescent="0.25">
      <c r="E1254" s="3"/>
      <c r="F1254" s="3"/>
    </row>
    <row r="1255" spans="5:6" x14ac:dyDescent="0.25">
      <c r="E1255" s="3"/>
      <c r="F1255" s="3"/>
    </row>
    <row r="1256" spans="5:6" x14ac:dyDescent="0.25">
      <c r="E1256" s="3"/>
      <c r="F1256" s="3"/>
    </row>
    <row r="1257" spans="5:6" x14ac:dyDescent="0.25">
      <c r="E1257" s="3"/>
      <c r="F1257" s="3"/>
    </row>
    <row r="1258" spans="5:6" x14ac:dyDescent="0.25">
      <c r="E1258" s="3"/>
      <c r="F1258" s="3"/>
    </row>
    <row r="1259" spans="5:6" x14ac:dyDescent="0.25">
      <c r="E1259" s="3"/>
      <c r="F1259" s="3"/>
    </row>
    <row r="1260" spans="5:6" x14ac:dyDescent="0.25">
      <c r="E1260" s="3"/>
      <c r="F1260" s="3"/>
    </row>
    <row r="1261" spans="5:6" x14ac:dyDescent="0.25">
      <c r="E1261" s="3"/>
      <c r="F1261" s="3"/>
    </row>
    <row r="1262" spans="5:6" x14ac:dyDescent="0.25">
      <c r="E1262" s="3"/>
      <c r="F1262" s="3"/>
    </row>
    <row r="1263" spans="5:6" x14ac:dyDescent="0.25">
      <c r="E1263" s="3"/>
      <c r="F1263" s="3"/>
    </row>
    <row r="1264" spans="5:6" x14ac:dyDescent="0.25">
      <c r="E1264" s="3"/>
      <c r="F1264" s="3"/>
    </row>
    <row r="1265" spans="5:6" x14ac:dyDescent="0.25">
      <c r="E1265" s="3"/>
      <c r="F1265" s="3"/>
    </row>
    <row r="1266" spans="5:6" x14ac:dyDescent="0.25">
      <c r="E1266" s="3"/>
      <c r="F1266" s="3"/>
    </row>
    <row r="1267" spans="5:6" x14ac:dyDescent="0.25">
      <c r="E1267" s="3"/>
      <c r="F1267" s="3"/>
    </row>
    <row r="1268" spans="5:6" x14ac:dyDescent="0.25">
      <c r="E1268" s="3"/>
      <c r="F1268" s="3"/>
    </row>
    <row r="1269" spans="5:6" x14ac:dyDescent="0.25">
      <c r="E1269" s="3"/>
      <c r="F1269" s="3"/>
    </row>
    <row r="1270" spans="5:6" x14ac:dyDescent="0.25">
      <c r="E1270" s="3"/>
      <c r="F1270" s="3"/>
    </row>
    <row r="1271" spans="5:6" x14ac:dyDescent="0.25">
      <c r="E1271" s="3"/>
      <c r="F1271" s="3"/>
    </row>
    <row r="1272" spans="5:6" x14ac:dyDescent="0.25">
      <c r="E1272" s="3"/>
      <c r="F1272" s="3"/>
    </row>
    <row r="1273" spans="5:6" x14ac:dyDescent="0.25">
      <c r="E1273" s="3"/>
      <c r="F1273" s="3"/>
    </row>
    <row r="1274" spans="5:6" x14ac:dyDescent="0.25">
      <c r="E1274" s="3"/>
      <c r="F1274" s="3"/>
    </row>
    <row r="1275" spans="5:6" x14ac:dyDescent="0.25">
      <c r="E1275" s="3"/>
      <c r="F1275" s="3"/>
    </row>
    <row r="1276" spans="5:6" x14ac:dyDescent="0.25">
      <c r="E1276" s="3"/>
      <c r="F1276" s="3"/>
    </row>
    <row r="1277" spans="5:6" x14ac:dyDescent="0.25">
      <c r="E1277" s="3"/>
      <c r="F1277" s="3"/>
    </row>
    <row r="1278" spans="5:6" x14ac:dyDescent="0.25">
      <c r="E1278" s="3"/>
      <c r="F1278" s="3"/>
    </row>
    <row r="1279" spans="5:6" x14ac:dyDescent="0.25">
      <c r="E1279" s="3"/>
      <c r="F1279" s="3"/>
    </row>
    <row r="1280" spans="5:6" x14ac:dyDescent="0.25">
      <c r="E1280" s="3"/>
      <c r="F1280" s="3"/>
    </row>
    <row r="1281" spans="5:6" x14ac:dyDescent="0.25">
      <c r="E1281" s="3"/>
      <c r="F1281" s="3"/>
    </row>
    <row r="1282" spans="5:6" x14ac:dyDescent="0.25">
      <c r="E1282" s="3"/>
      <c r="F1282" s="3"/>
    </row>
    <row r="1283" spans="5:6" x14ac:dyDescent="0.25">
      <c r="E1283" s="3"/>
      <c r="F1283" s="3"/>
    </row>
    <row r="1284" spans="5:6" x14ac:dyDescent="0.25">
      <c r="E1284" s="3"/>
      <c r="F1284" s="3"/>
    </row>
    <row r="1285" spans="5:6" x14ac:dyDescent="0.25">
      <c r="E1285" s="3"/>
      <c r="F1285" s="3"/>
    </row>
    <row r="1286" spans="5:6" x14ac:dyDescent="0.25">
      <c r="E1286" s="3"/>
      <c r="F1286" s="3"/>
    </row>
    <row r="1287" spans="5:6" x14ac:dyDescent="0.25">
      <c r="E1287" s="3"/>
      <c r="F1287" s="3"/>
    </row>
    <row r="1288" spans="5:6" x14ac:dyDescent="0.25">
      <c r="E1288" s="3"/>
      <c r="F1288" s="3"/>
    </row>
    <row r="1289" spans="5:6" x14ac:dyDescent="0.25">
      <c r="E1289" s="3"/>
      <c r="F1289" s="3"/>
    </row>
    <row r="1290" spans="5:6" x14ac:dyDescent="0.25">
      <c r="E1290" s="3"/>
      <c r="F1290" s="3"/>
    </row>
    <row r="1291" spans="5:6" x14ac:dyDescent="0.25">
      <c r="E1291" s="3"/>
      <c r="F1291" s="3"/>
    </row>
    <row r="1292" spans="5:6" x14ac:dyDescent="0.25">
      <c r="E1292" s="3"/>
      <c r="F1292" s="3"/>
    </row>
    <row r="1293" spans="5:6" x14ac:dyDescent="0.25">
      <c r="E1293" s="3"/>
      <c r="F1293" s="3"/>
    </row>
    <row r="1294" spans="5:6" x14ac:dyDescent="0.25">
      <c r="E1294" s="3"/>
      <c r="F1294" s="3"/>
    </row>
    <row r="1295" spans="5:6" x14ac:dyDescent="0.25">
      <c r="E1295" s="3"/>
      <c r="F1295" s="3"/>
    </row>
    <row r="1296" spans="5:6" x14ac:dyDescent="0.25">
      <c r="E1296" s="3"/>
      <c r="F1296" s="3"/>
    </row>
    <row r="1297" spans="5:6" x14ac:dyDescent="0.25">
      <c r="E1297" s="3"/>
      <c r="F1297" s="3"/>
    </row>
    <row r="1298" spans="5:6" x14ac:dyDescent="0.25">
      <c r="E1298" s="3"/>
      <c r="F1298" s="3"/>
    </row>
    <row r="1299" spans="5:6" x14ac:dyDescent="0.25">
      <c r="E1299" s="3"/>
      <c r="F1299" s="3"/>
    </row>
    <row r="1300" spans="5:6" x14ac:dyDescent="0.25">
      <c r="E1300" s="3"/>
      <c r="F1300" s="3"/>
    </row>
    <row r="1301" spans="5:6" x14ac:dyDescent="0.25">
      <c r="E1301" s="3"/>
      <c r="F1301" s="3"/>
    </row>
    <row r="1302" spans="5:6" x14ac:dyDescent="0.25">
      <c r="E1302" s="3"/>
      <c r="F1302" s="3"/>
    </row>
    <row r="1303" spans="5:6" x14ac:dyDescent="0.25">
      <c r="E1303" s="3"/>
      <c r="F1303" s="3"/>
    </row>
    <row r="1304" spans="5:6" x14ac:dyDescent="0.25">
      <c r="E1304" s="3"/>
      <c r="F1304" s="3"/>
    </row>
    <row r="1305" spans="5:6" x14ac:dyDescent="0.25">
      <c r="E1305" s="3"/>
      <c r="F1305" s="3"/>
    </row>
    <row r="1306" spans="5:6" x14ac:dyDescent="0.25">
      <c r="E1306" s="3"/>
      <c r="F1306" s="3"/>
    </row>
    <row r="1307" spans="5:6" x14ac:dyDescent="0.25">
      <c r="E1307" s="3"/>
      <c r="F1307" s="3"/>
    </row>
    <row r="1308" spans="5:6" x14ac:dyDescent="0.25">
      <c r="E1308" s="3"/>
      <c r="F1308" s="3"/>
    </row>
    <row r="1309" spans="5:6" x14ac:dyDescent="0.25">
      <c r="E1309" s="3"/>
      <c r="F1309" s="3"/>
    </row>
    <row r="1310" spans="5:6" x14ac:dyDescent="0.25">
      <c r="E1310" s="3"/>
      <c r="F1310" s="3"/>
    </row>
    <row r="1311" spans="5:6" x14ac:dyDescent="0.25">
      <c r="E1311" s="3"/>
      <c r="F1311" s="3"/>
    </row>
    <row r="1312" spans="5:6" x14ac:dyDescent="0.25">
      <c r="E1312" s="3"/>
      <c r="F1312" s="3"/>
    </row>
    <row r="1313" spans="5:6" x14ac:dyDescent="0.25">
      <c r="E1313" s="3"/>
      <c r="F1313" s="3"/>
    </row>
    <row r="1314" spans="5:6" x14ac:dyDescent="0.25">
      <c r="E1314" s="3"/>
      <c r="F1314" s="3"/>
    </row>
    <row r="1315" spans="5:6" x14ac:dyDescent="0.25">
      <c r="E1315" s="3"/>
      <c r="F1315" s="3"/>
    </row>
    <row r="1316" spans="5:6" x14ac:dyDescent="0.25">
      <c r="E1316" s="3"/>
      <c r="F1316" s="3"/>
    </row>
    <row r="1317" spans="5:6" x14ac:dyDescent="0.25">
      <c r="E1317" s="3"/>
      <c r="F1317" s="3"/>
    </row>
    <row r="1318" spans="5:6" x14ac:dyDescent="0.25">
      <c r="E1318" s="3"/>
      <c r="F1318" s="3"/>
    </row>
    <row r="1319" spans="5:6" x14ac:dyDescent="0.25">
      <c r="E1319" s="3"/>
      <c r="F1319" s="3"/>
    </row>
    <row r="1320" spans="5:6" x14ac:dyDescent="0.25">
      <c r="E1320" s="3"/>
      <c r="F1320" s="3"/>
    </row>
    <row r="1321" spans="5:6" x14ac:dyDescent="0.25">
      <c r="E1321" s="3"/>
      <c r="F1321" s="3"/>
    </row>
    <row r="1322" spans="5:6" x14ac:dyDescent="0.25">
      <c r="E1322" s="3"/>
      <c r="F1322" s="3"/>
    </row>
    <row r="1323" spans="5:6" x14ac:dyDescent="0.25">
      <c r="E1323" s="3"/>
      <c r="F1323" s="3"/>
    </row>
    <row r="1324" spans="5:6" x14ac:dyDescent="0.25">
      <c r="E1324" s="3"/>
      <c r="F1324" s="3"/>
    </row>
    <row r="1325" spans="5:6" x14ac:dyDescent="0.25">
      <c r="E1325" s="3"/>
      <c r="F1325" s="3"/>
    </row>
    <row r="1326" spans="5:6" x14ac:dyDescent="0.25">
      <c r="E1326" s="3"/>
      <c r="F1326" s="3"/>
    </row>
    <row r="1327" spans="5:6" x14ac:dyDescent="0.25">
      <c r="E1327" s="3"/>
      <c r="F1327" s="3"/>
    </row>
    <row r="1328" spans="5:6" x14ac:dyDescent="0.25">
      <c r="E1328" s="3"/>
      <c r="F1328" s="3"/>
    </row>
    <row r="1329" spans="5:6" x14ac:dyDescent="0.25">
      <c r="E1329" s="3"/>
      <c r="F1329" s="3"/>
    </row>
    <row r="1330" spans="5:6" x14ac:dyDescent="0.25">
      <c r="E1330" s="3"/>
      <c r="F1330" s="3"/>
    </row>
    <row r="1331" spans="5:6" x14ac:dyDescent="0.25">
      <c r="E1331" s="3"/>
      <c r="F1331" s="3"/>
    </row>
    <row r="1332" spans="5:6" x14ac:dyDescent="0.25">
      <c r="E1332" s="3"/>
      <c r="F1332" s="3"/>
    </row>
    <row r="1333" spans="5:6" x14ac:dyDescent="0.25">
      <c r="E1333" s="3"/>
      <c r="F1333" s="3"/>
    </row>
    <row r="1334" spans="5:6" x14ac:dyDescent="0.25">
      <c r="E1334" s="3"/>
      <c r="F1334" s="3"/>
    </row>
    <row r="1335" spans="5:6" x14ac:dyDescent="0.25">
      <c r="E1335" s="3"/>
      <c r="F1335" s="3"/>
    </row>
    <row r="1336" spans="5:6" x14ac:dyDescent="0.25">
      <c r="E1336" s="3"/>
      <c r="F1336" s="3"/>
    </row>
    <row r="1337" spans="5:6" x14ac:dyDescent="0.25">
      <c r="E1337" s="3"/>
      <c r="F1337" s="3"/>
    </row>
    <row r="1338" spans="5:6" x14ac:dyDescent="0.25">
      <c r="E1338" s="3"/>
      <c r="F1338" s="3"/>
    </row>
    <row r="1339" spans="5:6" x14ac:dyDescent="0.25">
      <c r="E1339" s="3"/>
      <c r="F1339" s="3"/>
    </row>
    <row r="1340" spans="5:6" x14ac:dyDescent="0.25">
      <c r="E1340" s="3"/>
      <c r="F1340" s="3"/>
    </row>
    <row r="1341" spans="5:6" x14ac:dyDescent="0.25">
      <c r="E1341" s="3"/>
      <c r="F1341" s="3"/>
    </row>
    <row r="1342" spans="5:6" x14ac:dyDescent="0.25">
      <c r="E1342" s="3"/>
      <c r="F1342" s="3"/>
    </row>
    <row r="1343" spans="5:6" x14ac:dyDescent="0.25">
      <c r="E1343" s="3"/>
      <c r="F1343" s="3"/>
    </row>
    <row r="1344" spans="5:6" x14ac:dyDescent="0.25">
      <c r="E1344" s="3"/>
      <c r="F1344" s="3"/>
    </row>
    <row r="1345" spans="5:6" x14ac:dyDescent="0.25">
      <c r="E1345" s="3"/>
      <c r="F1345" s="3"/>
    </row>
    <row r="1346" spans="5:6" x14ac:dyDescent="0.25">
      <c r="E1346" s="3"/>
      <c r="F1346" s="3"/>
    </row>
    <row r="1347" spans="5:6" x14ac:dyDescent="0.25">
      <c r="E1347" s="3"/>
      <c r="F1347" s="3"/>
    </row>
    <row r="1348" spans="5:6" x14ac:dyDescent="0.25">
      <c r="E1348" s="3"/>
      <c r="F1348" s="3"/>
    </row>
    <row r="1349" spans="5:6" x14ac:dyDescent="0.25">
      <c r="E1349" s="3"/>
      <c r="F1349" s="3"/>
    </row>
    <row r="1350" spans="5:6" x14ac:dyDescent="0.25">
      <c r="E1350" s="3"/>
      <c r="F1350" s="3"/>
    </row>
    <row r="1351" spans="5:6" x14ac:dyDescent="0.25">
      <c r="E1351" s="3"/>
      <c r="F1351" s="3"/>
    </row>
    <row r="1352" spans="5:6" x14ac:dyDescent="0.25">
      <c r="E1352" s="3"/>
      <c r="F1352" s="3"/>
    </row>
    <row r="1353" spans="5:6" x14ac:dyDescent="0.25">
      <c r="E1353" s="3"/>
      <c r="F1353" s="3"/>
    </row>
    <row r="1354" spans="5:6" x14ac:dyDescent="0.25">
      <c r="E1354" s="3"/>
      <c r="F1354" s="3"/>
    </row>
    <row r="1355" spans="5:6" x14ac:dyDescent="0.25">
      <c r="E1355" s="3"/>
      <c r="F1355" s="3"/>
    </row>
    <row r="1356" spans="5:6" x14ac:dyDescent="0.25">
      <c r="E1356" s="3"/>
      <c r="F1356" s="3"/>
    </row>
    <row r="1357" spans="5:6" x14ac:dyDescent="0.25">
      <c r="E1357" s="3"/>
      <c r="F1357" s="3"/>
    </row>
    <row r="1358" spans="5:6" x14ac:dyDescent="0.25">
      <c r="E1358" s="3"/>
      <c r="F1358" s="3"/>
    </row>
    <row r="1359" spans="5:6" x14ac:dyDescent="0.25">
      <c r="E1359" s="3"/>
      <c r="F1359" s="3"/>
    </row>
    <row r="1360" spans="5:6" x14ac:dyDescent="0.25">
      <c r="E1360" s="3"/>
      <c r="F1360" s="3"/>
    </row>
    <row r="1361" spans="5:6" x14ac:dyDescent="0.25">
      <c r="E1361" s="3"/>
      <c r="F1361" s="3"/>
    </row>
    <row r="1362" spans="5:6" x14ac:dyDescent="0.25">
      <c r="E1362" s="3"/>
      <c r="F1362" s="3"/>
    </row>
    <row r="1363" spans="5:6" x14ac:dyDescent="0.25">
      <c r="E1363" s="3"/>
      <c r="F1363" s="3"/>
    </row>
    <row r="1364" spans="5:6" x14ac:dyDescent="0.25">
      <c r="E1364" s="3"/>
      <c r="F1364" s="3"/>
    </row>
    <row r="1365" spans="5:6" x14ac:dyDescent="0.25">
      <c r="E1365" s="3"/>
      <c r="F1365" s="3"/>
    </row>
    <row r="1366" spans="5:6" x14ac:dyDescent="0.25">
      <c r="E1366" s="3"/>
      <c r="F1366" s="3"/>
    </row>
    <row r="1367" spans="5:6" x14ac:dyDescent="0.25">
      <c r="E1367" s="3"/>
      <c r="F1367" s="3"/>
    </row>
    <row r="1368" spans="5:6" x14ac:dyDescent="0.25">
      <c r="E1368" s="3"/>
      <c r="F1368" s="3"/>
    </row>
    <row r="1369" spans="5:6" x14ac:dyDescent="0.25">
      <c r="E1369" s="3"/>
      <c r="F1369" s="3"/>
    </row>
    <row r="1370" spans="5:6" x14ac:dyDescent="0.25">
      <c r="E1370" s="3"/>
      <c r="F1370" s="3"/>
    </row>
    <row r="1371" spans="5:6" x14ac:dyDescent="0.25">
      <c r="E1371" s="3"/>
      <c r="F1371" s="3"/>
    </row>
    <row r="1372" spans="5:6" x14ac:dyDescent="0.25">
      <c r="E1372" s="3"/>
      <c r="F1372" s="3"/>
    </row>
    <row r="1373" spans="5:6" x14ac:dyDescent="0.25">
      <c r="E1373" s="3"/>
      <c r="F1373" s="3"/>
    </row>
    <row r="1374" spans="5:6" x14ac:dyDescent="0.25">
      <c r="E1374" s="3"/>
      <c r="F1374" s="3"/>
    </row>
    <row r="1375" spans="5:6" x14ac:dyDescent="0.25">
      <c r="E1375" s="3"/>
      <c r="F1375" s="3"/>
    </row>
    <row r="1376" spans="5:6" x14ac:dyDescent="0.25">
      <c r="E1376" s="3"/>
      <c r="F1376" s="3"/>
    </row>
    <row r="1377" spans="5:6" x14ac:dyDescent="0.25">
      <c r="E1377" s="3"/>
      <c r="F1377" s="3"/>
    </row>
    <row r="1378" spans="5:6" x14ac:dyDescent="0.25">
      <c r="E1378" s="3"/>
      <c r="F1378" s="3"/>
    </row>
    <row r="1379" spans="5:6" x14ac:dyDescent="0.25">
      <c r="E1379" s="3"/>
      <c r="F1379" s="3"/>
    </row>
    <row r="1380" spans="5:6" x14ac:dyDescent="0.25">
      <c r="E1380" s="3"/>
      <c r="F1380" s="3"/>
    </row>
    <row r="1381" spans="5:6" x14ac:dyDescent="0.25">
      <c r="E1381" s="3"/>
      <c r="F1381" s="3"/>
    </row>
    <row r="1382" spans="5:6" x14ac:dyDescent="0.25">
      <c r="E1382" s="3"/>
      <c r="F1382" s="3"/>
    </row>
    <row r="1383" spans="5:6" x14ac:dyDescent="0.25">
      <c r="E1383" s="3"/>
      <c r="F1383" s="3"/>
    </row>
    <row r="1384" spans="5:6" x14ac:dyDescent="0.25">
      <c r="E1384" s="3"/>
      <c r="F1384" s="3"/>
    </row>
    <row r="1385" spans="5:6" x14ac:dyDescent="0.25">
      <c r="E1385" s="3"/>
      <c r="F1385" s="3"/>
    </row>
    <row r="1386" spans="5:6" x14ac:dyDescent="0.25">
      <c r="E1386" s="3"/>
      <c r="F1386" s="3"/>
    </row>
    <row r="1387" spans="5:6" x14ac:dyDescent="0.25">
      <c r="E1387" s="3"/>
      <c r="F1387" s="3"/>
    </row>
    <row r="1388" spans="5:6" x14ac:dyDescent="0.25">
      <c r="E1388" s="3"/>
      <c r="F1388" s="3"/>
    </row>
    <row r="1389" spans="5:6" x14ac:dyDescent="0.25">
      <c r="E1389" s="3"/>
      <c r="F1389" s="3"/>
    </row>
    <row r="1390" spans="5:6" x14ac:dyDescent="0.25">
      <c r="E1390" s="3"/>
      <c r="F1390" s="3"/>
    </row>
    <row r="1391" spans="5:6" x14ac:dyDescent="0.25">
      <c r="E1391" s="3"/>
      <c r="F1391" s="3"/>
    </row>
    <row r="1392" spans="5:6" x14ac:dyDescent="0.25">
      <c r="E1392" s="3"/>
      <c r="F1392" s="3"/>
    </row>
    <row r="1393" spans="5:6" x14ac:dyDescent="0.25">
      <c r="E1393" s="3"/>
      <c r="F1393" s="3"/>
    </row>
    <row r="1394" spans="5:6" x14ac:dyDescent="0.25">
      <c r="E1394" s="3"/>
      <c r="F1394" s="3"/>
    </row>
    <row r="1395" spans="5:6" x14ac:dyDescent="0.25">
      <c r="E1395" s="3"/>
      <c r="F1395" s="3"/>
    </row>
    <row r="1396" spans="5:6" x14ac:dyDescent="0.25">
      <c r="E1396" s="3"/>
      <c r="F1396" s="3"/>
    </row>
    <row r="1397" spans="5:6" x14ac:dyDescent="0.25">
      <c r="E1397" s="3"/>
      <c r="F1397" s="3"/>
    </row>
    <row r="1398" spans="5:6" x14ac:dyDescent="0.25">
      <c r="E1398" s="3"/>
      <c r="F1398" s="3"/>
    </row>
    <row r="1399" spans="5:6" x14ac:dyDescent="0.25">
      <c r="E1399" s="3"/>
      <c r="F1399" s="3"/>
    </row>
    <row r="1400" spans="5:6" x14ac:dyDescent="0.25">
      <c r="E1400" s="3"/>
      <c r="F1400" s="3"/>
    </row>
    <row r="1401" spans="5:6" x14ac:dyDescent="0.25">
      <c r="E1401" s="3"/>
      <c r="F1401" s="3"/>
    </row>
    <row r="1402" spans="5:6" x14ac:dyDescent="0.25">
      <c r="E1402" s="3"/>
      <c r="F1402" s="3"/>
    </row>
    <row r="1403" spans="5:6" x14ac:dyDescent="0.25">
      <c r="E1403" s="3"/>
      <c r="F1403" s="3"/>
    </row>
    <row r="1404" spans="5:6" x14ac:dyDescent="0.25">
      <c r="E1404" s="3"/>
      <c r="F1404" s="3"/>
    </row>
    <row r="1405" spans="5:6" x14ac:dyDescent="0.25">
      <c r="E1405" s="3"/>
      <c r="F1405" s="3"/>
    </row>
    <row r="1406" spans="5:6" x14ac:dyDescent="0.25">
      <c r="E1406" s="3"/>
      <c r="F1406" s="3"/>
    </row>
    <row r="1407" spans="5:6" x14ac:dyDescent="0.25">
      <c r="E1407" s="3"/>
      <c r="F1407" s="3"/>
    </row>
    <row r="1408" spans="5:6" x14ac:dyDescent="0.25">
      <c r="E1408" s="3"/>
      <c r="F1408" s="3"/>
    </row>
    <row r="1409" spans="5:6" x14ac:dyDescent="0.25">
      <c r="E1409" s="3"/>
      <c r="F1409" s="3"/>
    </row>
    <row r="1410" spans="5:6" x14ac:dyDescent="0.25">
      <c r="E1410" s="3"/>
      <c r="F1410" s="3"/>
    </row>
    <row r="1411" spans="5:6" x14ac:dyDescent="0.25">
      <c r="E1411" s="3"/>
      <c r="F1411" s="3"/>
    </row>
    <row r="1412" spans="5:6" x14ac:dyDescent="0.25">
      <c r="E1412" s="3"/>
      <c r="F1412" s="3"/>
    </row>
    <row r="1413" spans="5:6" x14ac:dyDescent="0.25">
      <c r="E1413" s="3"/>
      <c r="F1413" s="3"/>
    </row>
    <row r="1414" spans="5:6" x14ac:dyDescent="0.25">
      <c r="E1414" s="3"/>
      <c r="F1414" s="3"/>
    </row>
    <row r="1415" spans="5:6" x14ac:dyDescent="0.25">
      <c r="E1415" s="3"/>
      <c r="F1415" s="3"/>
    </row>
    <row r="1416" spans="5:6" x14ac:dyDescent="0.25">
      <c r="E1416" s="3"/>
      <c r="F1416" s="3"/>
    </row>
    <row r="1417" spans="5:6" x14ac:dyDescent="0.25">
      <c r="E1417" s="3"/>
      <c r="F1417" s="3"/>
    </row>
    <row r="1418" spans="5:6" x14ac:dyDescent="0.25">
      <c r="E1418" s="3"/>
      <c r="F1418" s="3"/>
    </row>
    <row r="1419" spans="5:6" x14ac:dyDescent="0.25">
      <c r="E1419" s="3"/>
      <c r="F1419" s="3"/>
    </row>
    <row r="1420" spans="5:6" x14ac:dyDescent="0.25">
      <c r="E1420" s="3"/>
      <c r="F1420" s="3"/>
    </row>
    <row r="1421" spans="5:6" x14ac:dyDescent="0.25">
      <c r="E1421" s="3"/>
      <c r="F1421" s="3"/>
    </row>
    <row r="1422" spans="5:6" x14ac:dyDescent="0.25">
      <c r="E1422" s="3"/>
      <c r="F1422" s="3"/>
    </row>
    <row r="1423" spans="5:6" x14ac:dyDescent="0.25">
      <c r="E1423" s="3"/>
      <c r="F1423" s="3"/>
    </row>
    <row r="1424" spans="5:6" x14ac:dyDescent="0.25">
      <c r="E1424" s="3"/>
      <c r="F1424" s="3"/>
    </row>
    <row r="1425" spans="5:6" x14ac:dyDescent="0.25">
      <c r="E1425" s="3"/>
      <c r="F1425" s="3"/>
    </row>
    <row r="1426" spans="5:6" x14ac:dyDescent="0.25">
      <c r="E1426" s="3"/>
      <c r="F1426" s="3"/>
    </row>
    <row r="1427" spans="5:6" x14ac:dyDescent="0.25">
      <c r="E1427" s="3"/>
      <c r="F1427" s="3"/>
    </row>
    <row r="1428" spans="5:6" x14ac:dyDescent="0.25">
      <c r="E1428" s="3"/>
      <c r="F1428" s="3"/>
    </row>
    <row r="1429" spans="5:6" x14ac:dyDescent="0.25">
      <c r="E1429" s="3"/>
      <c r="F1429" s="3"/>
    </row>
    <row r="1430" spans="5:6" x14ac:dyDescent="0.25">
      <c r="E1430" s="3"/>
      <c r="F1430" s="3"/>
    </row>
    <row r="1431" spans="5:6" x14ac:dyDescent="0.25">
      <c r="E1431" s="3"/>
      <c r="F1431" s="3"/>
    </row>
    <row r="1432" spans="5:6" x14ac:dyDescent="0.25">
      <c r="E1432" s="3"/>
      <c r="F1432" s="3"/>
    </row>
    <row r="1433" spans="5:6" x14ac:dyDescent="0.25">
      <c r="E1433" s="3"/>
      <c r="F1433" s="3"/>
    </row>
    <row r="1434" spans="5:6" x14ac:dyDescent="0.25">
      <c r="E1434" s="3"/>
      <c r="F1434" s="3"/>
    </row>
    <row r="1435" spans="5:6" x14ac:dyDescent="0.25">
      <c r="E1435" s="3"/>
      <c r="F1435" s="3"/>
    </row>
    <row r="1436" spans="5:6" x14ac:dyDescent="0.25">
      <c r="E1436" s="3"/>
      <c r="F1436" s="3"/>
    </row>
    <row r="1437" spans="5:6" x14ac:dyDescent="0.25">
      <c r="E1437" s="3"/>
      <c r="F1437" s="3"/>
    </row>
    <row r="1438" spans="5:6" x14ac:dyDescent="0.25">
      <c r="E1438" s="3"/>
      <c r="F1438" s="3"/>
    </row>
    <row r="1439" spans="5:6" x14ac:dyDescent="0.25">
      <c r="E1439" s="3"/>
      <c r="F1439" s="3"/>
    </row>
    <row r="1440" spans="5:6" x14ac:dyDescent="0.25">
      <c r="E1440" s="3"/>
      <c r="F1440" s="3"/>
    </row>
    <row r="1441" spans="5:6" x14ac:dyDescent="0.25">
      <c r="E1441" s="3"/>
      <c r="F1441" s="3"/>
    </row>
    <row r="1442" spans="5:6" x14ac:dyDescent="0.25">
      <c r="E1442" s="3"/>
      <c r="F1442" s="3"/>
    </row>
    <row r="1443" spans="5:6" x14ac:dyDescent="0.25">
      <c r="E1443" s="3"/>
      <c r="F1443" s="3"/>
    </row>
    <row r="1444" spans="5:6" x14ac:dyDescent="0.25">
      <c r="E1444" s="3"/>
      <c r="F1444" s="3"/>
    </row>
    <row r="1445" spans="5:6" x14ac:dyDescent="0.25">
      <c r="E1445" s="3"/>
      <c r="F1445" s="3"/>
    </row>
    <row r="1446" spans="5:6" x14ac:dyDescent="0.25">
      <c r="E1446" s="3"/>
      <c r="F1446" s="3"/>
    </row>
    <row r="1447" spans="5:6" x14ac:dyDescent="0.25">
      <c r="E1447" s="3"/>
      <c r="F1447" s="3"/>
    </row>
    <row r="1448" spans="5:6" x14ac:dyDescent="0.25">
      <c r="E1448" s="3"/>
      <c r="F1448" s="3"/>
    </row>
    <row r="1449" spans="5:6" x14ac:dyDescent="0.25">
      <c r="E1449" s="3"/>
      <c r="F1449" s="3"/>
    </row>
    <row r="1450" spans="5:6" x14ac:dyDescent="0.25">
      <c r="E1450" s="3"/>
      <c r="F1450" s="3"/>
    </row>
    <row r="1451" spans="5:6" x14ac:dyDescent="0.25">
      <c r="E1451" s="3"/>
      <c r="F1451" s="3"/>
    </row>
    <row r="1452" spans="5:6" x14ac:dyDescent="0.25">
      <c r="E1452" s="3"/>
      <c r="F1452" s="3"/>
    </row>
    <row r="1453" spans="5:6" x14ac:dyDescent="0.25">
      <c r="E1453" s="3"/>
      <c r="F1453" s="3"/>
    </row>
    <row r="1454" spans="5:6" x14ac:dyDescent="0.25">
      <c r="E1454" s="3"/>
      <c r="F1454" s="3"/>
    </row>
    <row r="1455" spans="5:6" x14ac:dyDescent="0.25">
      <c r="E1455" s="3"/>
      <c r="F1455" s="3"/>
    </row>
    <row r="1456" spans="5:6" x14ac:dyDescent="0.25">
      <c r="E1456" s="3"/>
      <c r="F1456" s="3"/>
    </row>
    <row r="1457" spans="5:6" x14ac:dyDescent="0.25">
      <c r="E1457" s="3"/>
      <c r="F1457" s="3"/>
    </row>
    <row r="1458" spans="5:6" x14ac:dyDescent="0.25">
      <c r="E1458" s="3"/>
      <c r="F1458" s="3"/>
    </row>
    <row r="1459" spans="5:6" x14ac:dyDescent="0.25">
      <c r="E1459" s="3"/>
      <c r="F1459" s="3"/>
    </row>
    <row r="1460" spans="5:6" x14ac:dyDescent="0.25">
      <c r="E1460" s="3"/>
      <c r="F1460" s="3"/>
    </row>
    <row r="1461" spans="5:6" x14ac:dyDescent="0.25">
      <c r="E1461" s="3"/>
      <c r="F1461" s="3"/>
    </row>
    <row r="1462" spans="5:6" x14ac:dyDescent="0.25">
      <c r="E1462" s="3"/>
      <c r="F1462" s="3"/>
    </row>
    <row r="1463" spans="5:6" x14ac:dyDescent="0.25">
      <c r="E1463" s="3"/>
      <c r="F1463" s="3"/>
    </row>
    <row r="1464" spans="5:6" x14ac:dyDescent="0.25">
      <c r="E1464" s="3"/>
      <c r="F1464" s="3"/>
    </row>
    <row r="1465" spans="5:6" x14ac:dyDescent="0.25">
      <c r="E1465" s="3"/>
      <c r="F1465" s="3"/>
    </row>
    <row r="1466" spans="5:6" x14ac:dyDescent="0.25">
      <c r="E1466" s="3"/>
      <c r="F1466" s="3"/>
    </row>
    <row r="1467" spans="5:6" x14ac:dyDescent="0.25">
      <c r="E1467" s="3"/>
      <c r="F1467" s="3"/>
    </row>
    <row r="1468" spans="5:6" x14ac:dyDescent="0.25">
      <c r="E1468" s="3"/>
      <c r="F1468" s="3"/>
    </row>
    <row r="1469" spans="5:6" x14ac:dyDescent="0.25">
      <c r="E1469" s="3"/>
      <c r="F1469" s="3"/>
    </row>
    <row r="1470" spans="5:6" x14ac:dyDescent="0.25">
      <c r="E1470" s="3"/>
      <c r="F1470" s="3"/>
    </row>
    <row r="1471" spans="5:6" x14ac:dyDescent="0.25">
      <c r="E1471" s="3"/>
      <c r="F1471" s="3"/>
    </row>
    <row r="1472" spans="5:6" x14ac:dyDescent="0.25">
      <c r="E1472" s="3"/>
      <c r="F1472" s="3"/>
    </row>
    <row r="1473" spans="5:6" x14ac:dyDescent="0.25">
      <c r="E1473" s="3"/>
      <c r="F1473" s="3"/>
    </row>
    <row r="1474" spans="5:6" x14ac:dyDescent="0.25">
      <c r="E1474" s="3"/>
      <c r="F1474" s="3"/>
    </row>
    <row r="1475" spans="5:6" x14ac:dyDescent="0.25">
      <c r="E1475" s="3"/>
      <c r="F1475" s="3"/>
    </row>
    <row r="1476" spans="5:6" x14ac:dyDescent="0.25">
      <c r="E1476" s="3"/>
      <c r="F1476" s="3"/>
    </row>
    <row r="1477" spans="5:6" x14ac:dyDescent="0.25">
      <c r="E1477" s="3"/>
      <c r="F1477" s="3"/>
    </row>
    <row r="1478" spans="5:6" x14ac:dyDescent="0.25">
      <c r="E1478" s="3"/>
      <c r="F1478" s="3"/>
    </row>
    <row r="1479" spans="5:6" x14ac:dyDescent="0.25">
      <c r="E1479" s="3"/>
      <c r="F1479" s="3"/>
    </row>
    <row r="1480" spans="5:6" x14ac:dyDescent="0.25">
      <c r="E1480" s="3"/>
      <c r="F1480" s="3"/>
    </row>
    <row r="1481" spans="5:6" x14ac:dyDescent="0.25">
      <c r="E1481" s="3"/>
      <c r="F1481" s="3"/>
    </row>
    <row r="1482" spans="5:6" x14ac:dyDescent="0.25">
      <c r="E1482" s="3"/>
      <c r="F1482" s="3"/>
    </row>
    <row r="1483" spans="5:6" x14ac:dyDescent="0.25">
      <c r="E1483" s="3"/>
      <c r="F1483" s="3"/>
    </row>
    <row r="1484" spans="5:6" x14ac:dyDescent="0.25">
      <c r="E1484" s="3"/>
      <c r="F1484" s="3"/>
    </row>
    <row r="1485" spans="5:6" x14ac:dyDescent="0.25">
      <c r="E1485" s="3"/>
      <c r="F1485" s="3"/>
    </row>
    <row r="1486" spans="5:6" x14ac:dyDescent="0.25">
      <c r="E1486" s="3"/>
      <c r="F1486" s="3"/>
    </row>
    <row r="1487" spans="5:6" x14ac:dyDescent="0.25">
      <c r="E1487" s="3"/>
      <c r="F1487" s="3"/>
    </row>
    <row r="1488" spans="5:6" x14ac:dyDescent="0.25">
      <c r="E1488" s="3"/>
      <c r="F1488" s="3"/>
    </row>
    <row r="1489" spans="5:6" x14ac:dyDescent="0.25">
      <c r="E1489" s="3"/>
      <c r="F1489" s="3"/>
    </row>
    <row r="1490" spans="5:6" x14ac:dyDescent="0.25">
      <c r="E1490" s="3"/>
      <c r="F1490" s="3"/>
    </row>
    <row r="1491" spans="5:6" x14ac:dyDescent="0.25">
      <c r="E1491" s="3"/>
      <c r="F1491" s="3"/>
    </row>
    <row r="1492" spans="5:6" x14ac:dyDescent="0.25">
      <c r="E1492" s="3"/>
      <c r="F1492" s="3"/>
    </row>
    <row r="1493" spans="5:6" x14ac:dyDescent="0.25">
      <c r="E1493" s="3"/>
      <c r="F1493" s="3"/>
    </row>
    <row r="1494" spans="5:6" x14ac:dyDescent="0.25">
      <c r="E1494" s="3"/>
      <c r="F1494" s="3"/>
    </row>
    <row r="1495" spans="5:6" x14ac:dyDescent="0.25">
      <c r="E1495" s="3"/>
      <c r="F1495" s="3"/>
    </row>
    <row r="1496" spans="5:6" x14ac:dyDescent="0.25">
      <c r="E1496" s="3"/>
      <c r="F1496" s="3"/>
    </row>
    <row r="1497" spans="5:6" x14ac:dyDescent="0.25">
      <c r="E1497" s="3"/>
      <c r="F1497" s="3"/>
    </row>
    <row r="1498" spans="5:6" x14ac:dyDescent="0.25">
      <c r="E1498" s="3"/>
      <c r="F1498" s="3"/>
    </row>
    <row r="1499" spans="5:6" x14ac:dyDescent="0.25">
      <c r="E1499" s="3"/>
      <c r="F1499" s="3"/>
    </row>
    <row r="1500" spans="5:6" x14ac:dyDescent="0.25">
      <c r="E1500" s="3"/>
      <c r="F1500" s="3"/>
    </row>
    <row r="1501" spans="5:6" x14ac:dyDescent="0.25">
      <c r="E1501" s="3"/>
      <c r="F1501" s="3"/>
    </row>
    <row r="1502" spans="5:6" x14ac:dyDescent="0.25">
      <c r="E1502" s="3"/>
      <c r="F1502" s="3"/>
    </row>
    <row r="1503" spans="5:6" x14ac:dyDescent="0.25">
      <c r="E1503" s="3"/>
      <c r="F1503" s="3"/>
    </row>
    <row r="1504" spans="5:6" x14ac:dyDescent="0.25">
      <c r="E1504" s="3"/>
      <c r="F1504" s="3"/>
    </row>
    <row r="1505" spans="5:6" x14ac:dyDescent="0.25">
      <c r="E1505" s="3"/>
      <c r="F1505" s="3"/>
    </row>
    <row r="1506" spans="5:6" x14ac:dyDescent="0.25">
      <c r="E1506" s="3"/>
      <c r="F1506" s="3"/>
    </row>
    <row r="1507" spans="5:6" x14ac:dyDescent="0.25">
      <c r="E1507" s="3"/>
      <c r="F1507" s="3"/>
    </row>
    <row r="1508" spans="5:6" x14ac:dyDescent="0.25">
      <c r="E1508" s="3"/>
      <c r="F1508" s="3"/>
    </row>
    <row r="1509" spans="5:6" x14ac:dyDescent="0.25">
      <c r="E1509" s="3"/>
      <c r="F1509" s="3"/>
    </row>
    <row r="1510" spans="5:6" x14ac:dyDescent="0.25">
      <c r="E1510" s="3"/>
      <c r="F1510" s="3"/>
    </row>
    <row r="1511" spans="5:6" x14ac:dyDescent="0.25">
      <c r="E1511" s="3"/>
      <c r="F1511" s="3"/>
    </row>
    <row r="1512" spans="5:6" x14ac:dyDescent="0.25">
      <c r="E1512" s="3"/>
      <c r="F1512" s="3"/>
    </row>
    <row r="1513" spans="5:6" x14ac:dyDescent="0.25">
      <c r="E1513" s="3"/>
      <c r="F1513" s="3"/>
    </row>
    <row r="1514" spans="5:6" x14ac:dyDescent="0.25">
      <c r="E1514" s="3"/>
      <c r="F1514" s="3"/>
    </row>
    <row r="1515" spans="5:6" x14ac:dyDescent="0.25">
      <c r="E1515" s="3"/>
      <c r="F1515" s="3"/>
    </row>
    <row r="1516" spans="5:6" x14ac:dyDescent="0.25">
      <c r="E1516" s="3"/>
      <c r="F1516" s="3"/>
    </row>
    <row r="1517" spans="5:6" x14ac:dyDescent="0.25">
      <c r="E1517" s="3"/>
      <c r="F1517" s="3"/>
    </row>
    <row r="1518" spans="5:6" x14ac:dyDescent="0.25">
      <c r="E1518" s="3"/>
      <c r="F1518" s="3"/>
    </row>
    <row r="1519" spans="5:6" x14ac:dyDescent="0.25">
      <c r="E1519" s="3"/>
      <c r="F1519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A1B592-319F-4919-A60E-288B77A023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B1F085-F569-4886-BB95-9C746B0E0B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ECC88A-3495-415D-80E7-E482963A6E5D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c7e9e12b-e488-4582-bba1-43117c8a34f0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SOND</vt:lpstr>
      <vt:lpstr>CTL</vt:lpstr>
      <vt:lpstr>ARM</vt:lpstr>
      <vt:lpstr>DIARIO</vt:lpstr>
      <vt:lpstr>SOND!Print_Area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SONDAGEM OD</dc:title>
  <dc:creator>JOSSIAN COSTA DE BRITO</dc:creator>
  <cp:lastModifiedBy>jossian brito</cp:lastModifiedBy>
  <dcterms:created xsi:type="dcterms:W3CDTF">2022-06-29T19:55:06Z</dcterms:created>
  <dcterms:modified xsi:type="dcterms:W3CDTF">2022-11-06T00:04:53Z</dcterms:modified>
  <cp:category>VERSAO 1.0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