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si\Documents\SONDAGEM REBOCADORES\"/>
    </mc:Choice>
  </mc:AlternateContent>
  <xr:revisionPtr revIDLastSave="0" documentId="13_ncr:1_{DF0150D4-1BCD-41FE-A73C-10E112B0B9E5}" xr6:coauthVersionLast="47" xr6:coauthVersionMax="47" xr10:uidLastSave="{00000000-0000-0000-0000-000000000000}"/>
  <bookViews>
    <workbookView xWindow="-120" yWindow="-120" windowWidth="29040" windowHeight="15840" xr2:uid="{3EB51D8B-CF14-4859-A582-7BBBE36165A0}"/>
  </bookViews>
  <sheets>
    <sheet name="SONDAGEM" sheetId="22" r:id="rId1"/>
    <sheet name=" TK4 " sheetId="1" r:id="rId2"/>
    <sheet name="TK5" sheetId="17" r:id="rId3"/>
    <sheet name="TK6" sheetId="18" r:id="rId4"/>
    <sheet name="TK7" sheetId="19" r:id="rId5"/>
    <sheet name="TK11" sheetId="20" r:id="rId6"/>
    <sheet name="TK12" sheetId="2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2" l="1"/>
  <c r="E109" i="21"/>
  <c r="E97" i="21"/>
  <c r="E85" i="21"/>
  <c r="E86" i="21" s="1"/>
  <c r="L8" i="22" s="1"/>
  <c r="E73" i="21"/>
  <c r="E74" i="21" s="1"/>
  <c r="K8" i="22" s="1"/>
  <c r="E61" i="21"/>
  <c r="E62" i="21" s="1"/>
  <c r="J8" i="22" s="1"/>
  <c r="E49" i="21"/>
  <c r="E50" i="21" s="1"/>
  <c r="I8" i="22" s="1"/>
  <c r="E37" i="21"/>
  <c r="E38" i="21" s="1"/>
  <c r="H8" i="22" s="1"/>
  <c r="E25" i="21"/>
  <c r="E13" i="21"/>
  <c r="E14" i="21" s="1"/>
  <c r="F8" i="22" s="1"/>
  <c r="E1" i="21"/>
  <c r="E2" i="21" s="1"/>
  <c r="E8" i="22" s="1"/>
  <c r="E109" i="20"/>
  <c r="E110" i="20" s="1"/>
  <c r="N7" i="22" s="1"/>
  <c r="E97" i="20"/>
  <c r="E98" i="20" s="1"/>
  <c r="M7" i="22" s="1"/>
  <c r="E85" i="20"/>
  <c r="E73" i="20"/>
  <c r="E74" i="20" s="1"/>
  <c r="K7" i="22" s="1"/>
  <c r="E61" i="20"/>
  <c r="E62" i="20" s="1"/>
  <c r="J7" i="22" s="1"/>
  <c r="E49" i="20"/>
  <c r="E37" i="20"/>
  <c r="E25" i="20"/>
  <c r="E13" i="20"/>
  <c r="E1" i="20"/>
  <c r="E2" i="20" s="1"/>
  <c r="E7" i="22" s="1"/>
  <c r="E109" i="19"/>
  <c r="E97" i="19"/>
  <c r="E85" i="19"/>
  <c r="E73" i="19"/>
  <c r="E61" i="19"/>
  <c r="E62" i="19" s="1"/>
  <c r="J6" i="22" s="1"/>
  <c r="E49" i="19"/>
  <c r="E50" i="19" s="1"/>
  <c r="I6" i="22" s="1"/>
  <c r="E37" i="19"/>
  <c r="E25" i="19"/>
  <c r="E13" i="19"/>
  <c r="E14" i="19" s="1"/>
  <c r="F6" i="22" s="1"/>
  <c r="E1" i="19"/>
  <c r="E109" i="18"/>
  <c r="E110" i="18" s="1"/>
  <c r="N5" i="22" s="1"/>
  <c r="E97" i="18"/>
  <c r="E85" i="18"/>
  <c r="E73" i="18"/>
  <c r="E61" i="18"/>
  <c r="E49" i="18"/>
  <c r="E37" i="18"/>
  <c r="E38" i="18" s="1"/>
  <c r="H5" i="22" s="1"/>
  <c r="E25" i="18"/>
  <c r="E13" i="18"/>
  <c r="E14" i="18" s="1"/>
  <c r="F5" i="22" s="1"/>
  <c r="E1" i="18"/>
  <c r="E109" i="17"/>
  <c r="E110" i="17" s="1"/>
  <c r="N4" i="22" s="1"/>
  <c r="E97" i="17"/>
  <c r="E85" i="17"/>
  <c r="E86" i="17" s="1"/>
  <c r="L4" i="22" s="1"/>
  <c r="E73" i="17"/>
  <c r="E74" i="17" s="1"/>
  <c r="K4" i="22" s="1"/>
  <c r="E61" i="17"/>
  <c r="E49" i="17"/>
  <c r="E50" i="17" s="1"/>
  <c r="I4" i="22" s="1"/>
  <c r="E37" i="17"/>
  <c r="E38" i="17" s="1"/>
  <c r="H4" i="22" s="1"/>
  <c r="E25" i="17"/>
  <c r="E13" i="17"/>
  <c r="E1" i="17"/>
  <c r="E2" i="17" s="1"/>
  <c r="E4" i="22" s="1"/>
  <c r="E109" i="1"/>
  <c r="E110" i="1" s="1"/>
  <c r="N3" i="22" s="1"/>
  <c r="E97" i="1"/>
  <c r="E98" i="1" s="1"/>
  <c r="M3" i="22" s="1"/>
  <c r="E85" i="1"/>
  <c r="E86" i="1" s="1"/>
  <c r="L3" i="22" s="1"/>
  <c r="E73" i="1"/>
  <c r="E61" i="1"/>
  <c r="E49" i="1"/>
  <c r="E37" i="1"/>
  <c r="E25" i="1"/>
  <c r="E13" i="1"/>
  <c r="E14" i="1" s="1"/>
  <c r="F3" i="22" s="1"/>
  <c r="E1" i="1"/>
  <c r="E110" i="21"/>
  <c r="N8" i="22" s="1"/>
  <c r="E98" i="21"/>
  <c r="M8" i="22" s="1"/>
  <c r="E26" i="21"/>
  <c r="G8" i="22" s="1"/>
  <c r="E16" i="21"/>
  <c r="E28" i="21" s="1"/>
  <c r="E40" i="21" s="1"/>
  <c r="E52" i="21" s="1"/>
  <c r="E64" i="21" s="1"/>
  <c r="E76" i="21" s="1"/>
  <c r="E88" i="21" s="1"/>
  <c r="E100" i="21" s="1"/>
  <c r="E112" i="21" s="1"/>
  <c r="E38" i="20"/>
  <c r="H7" i="22" s="1"/>
  <c r="E26" i="20"/>
  <c r="G7" i="22" s="1"/>
  <c r="E16" i="20"/>
  <c r="E28" i="20" s="1"/>
  <c r="E40" i="20" s="1"/>
  <c r="E52" i="20" s="1"/>
  <c r="E64" i="20" s="1"/>
  <c r="E76" i="20" s="1"/>
  <c r="E88" i="20" s="1"/>
  <c r="E100" i="20" s="1"/>
  <c r="E112" i="20" s="1"/>
  <c r="E110" i="19"/>
  <c r="N6" i="22" s="1"/>
  <c r="E98" i="19"/>
  <c r="M6" i="22" s="1"/>
  <c r="E86" i="19"/>
  <c r="L6" i="22" s="1"/>
  <c r="E74" i="19"/>
  <c r="K6" i="22" s="1"/>
  <c r="E16" i="19"/>
  <c r="E28" i="19" s="1"/>
  <c r="E40" i="19" s="1"/>
  <c r="E52" i="19" s="1"/>
  <c r="E64" i="19" s="1"/>
  <c r="E76" i="19" s="1"/>
  <c r="E88" i="19" s="1"/>
  <c r="E100" i="19" s="1"/>
  <c r="E112" i="19" s="1"/>
  <c r="E98" i="18"/>
  <c r="M5" i="22" s="1"/>
  <c r="E16" i="18"/>
  <c r="E28" i="18" s="1"/>
  <c r="E40" i="18" s="1"/>
  <c r="E52" i="18" s="1"/>
  <c r="E64" i="18" s="1"/>
  <c r="E76" i="18" s="1"/>
  <c r="E88" i="18" s="1"/>
  <c r="E100" i="18" s="1"/>
  <c r="E112" i="18" s="1"/>
  <c r="E98" i="17"/>
  <c r="M4" i="22" s="1"/>
  <c r="E62" i="17"/>
  <c r="J4" i="22" s="1"/>
  <c r="E26" i="17"/>
  <c r="G4" i="22" s="1"/>
  <c r="E16" i="17"/>
  <c r="E28" i="17" s="1"/>
  <c r="E40" i="17" s="1"/>
  <c r="E52" i="17" s="1"/>
  <c r="E64" i="17" s="1"/>
  <c r="E76" i="17" s="1"/>
  <c r="E88" i="17" s="1"/>
  <c r="E100" i="17" s="1"/>
  <c r="E112" i="17" s="1"/>
  <c r="E14" i="17"/>
  <c r="F4" i="22" s="1"/>
  <c r="E16" i="1"/>
  <c r="E28" i="1" s="1"/>
  <c r="E40" i="1" s="1"/>
  <c r="E52" i="1" s="1"/>
  <c r="E64" i="1" s="1"/>
  <c r="E76" i="1" s="1"/>
  <c r="E88" i="1" s="1"/>
  <c r="E100" i="1" s="1"/>
  <c r="E112" i="1" s="1"/>
  <c r="O4" i="22" l="1"/>
  <c r="O8" i="22"/>
  <c r="M9" i="22"/>
  <c r="N9" i="22"/>
  <c r="E26" i="1"/>
  <c r="G3" i="22" s="1"/>
  <c r="E62" i="1"/>
  <c r="J3" i="22" s="1"/>
  <c r="E50" i="1"/>
  <c r="I3" i="22" s="1"/>
  <c r="E38" i="1"/>
  <c r="H3" i="22" s="1"/>
  <c r="E2" i="1"/>
  <c r="E3" i="22" s="1"/>
  <c r="E86" i="20"/>
  <c r="L7" i="22" s="1"/>
  <c r="E50" i="20"/>
  <c r="I7" i="22" s="1"/>
  <c r="E14" i="20"/>
  <c r="F7" i="22" s="1"/>
  <c r="F9" i="22" s="1"/>
  <c r="E38" i="19"/>
  <c r="H6" i="22" s="1"/>
  <c r="E26" i="19"/>
  <c r="G6" i="22" s="1"/>
  <c r="E2" i="19"/>
  <c r="E6" i="22" s="1"/>
  <c r="E26" i="18"/>
  <c r="G5" i="22" s="1"/>
  <c r="E74" i="18"/>
  <c r="K5" i="22" s="1"/>
  <c r="E62" i="18"/>
  <c r="J5" i="22" s="1"/>
  <c r="E86" i="18"/>
  <c r="L5" i="22" s="1"/>
  <c r="E50" i="18"/>
  <c r="I5" i="22" s="1"/>
  <c r="E2" i="18"/>
  <c r="E5" i="22" s="1"/>
  <c r="E74" i="1"/>
  <c r="K3" i="22" s="1"/>
  <c r="O6" i="22" l="1"/>
  <c r="O5" i="22"/>
  <c r="L9" i="22"/>
  <c r="O7" i="22"/>
  <c r="O3" i="22"/>
  <c r="E9" i="22"/>
  <c r="J9" i="22"/>
  <c r="H9" i="22"/>
  <c r="I9" i="22"/>
  <c r="G9" i="22"/>
  <c r="K9" i="22"/>
  <c r="O9" i="22" l="1"/>
</calcChain>
</file>

<file path=xl/sharedStrings.xml><?xml version="1.0" encoding="utf-8"?>
<sst xmlns="http://schemas.openxmlformats.org/spreadsheetml/2006/main" count="499" uniqueCount="28">
  <si>
    <t>sounding</t>
  </si>
  <si>
    <t>volume lts</t>
  </si>
  <si>
    <t xml:space="preserve">trim </t>
  </si>
  <si>
    <t>SONDAGEM</t>
  </si>
  <si>
    <t>VOLUME</t>
  </si>
  <si>
    <t>TK4</t>
  </si>
  <si>
    <t xml:space="preserve">TK4 </t>
  </si>
  <si>
    <t>FUEL OIL HEADER</t>
  </si>
  <si>
    <t xml:space="preserve"> FUEL OIL HEADER</t>
  </si>
  <si>
    <t>specific wheight  ton/m³</t>
  </si>
  <si>
    <t>TK5</t>
  </si>
  <si>
    <t>TK6</t>
  </si>
  <si>
    <t>FUEL OIL PS</t>
  </si>
  <si>
    <t>TK7</t>
  </si>
  <si>
    <t>FUEL OIL SB</t>
  </si>
  <si>
    <t>TK11</t>
  </si>
  <si>
    <t>FUEL OIL AFT PS</t>
  </si>
  <si>
    <t>TK12</t>
  </si>
  <si>
    <t>FUEL OIL AFT SB</t>
  </si>
  <si>
    <t>TANQUE</t>
  </si>
  <si>
    <t>%</t>
  </si>
  <si>
    <t>CAPACIDADE LTS</t>
  </si>
  <si>
    <t>SONDAGEM CM</t>
  </si>
  <si>
    <t xml:space="preserve"> FUEL OIL PS</t>
  </si>
  <si>
    <t xml:space="preserve"> FUEL OIL AFT SB</t>
  </si>
  <si>
    <t>TOTAL</t>
  </si>
  <si>
    <t>SONDAGEM CLASSE A  - ASD 2411</t>
  </si>
  <si>
    <t>TRIM &amp; VOLUME (LTS)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</si>
</sst>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theme="0"/>
      <name val="Arial Black"/>
      <family val="2"/>
    </font>
    <font>
      <b/>
      <sz val="18"/>
      <color theme="1"/>
      <name val="Arial Black"/>
      <family val="2"/>
    </font>
    <font>
      <sz val="11"/>
      <name val="Arial Black"/>
      <family val="2"/>
    </font>
    <font>
      <b/>
      <sz val="22"/>
      <color theme="1"/>
      <name val="Arial Black"/>
      <family val="2"/>
    </font>
    <font>
      <sz val="22"/>
      <color theme="1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3" fontId="1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245F-2F41-42C4-8B55-6E16511A89AB}">
  <dimension ref="A1:O9"/>
  <sheetViews>
    <sheetView showGridLines="0" tabSelected="1" workbookViewId="0">
      <selection activeCell="A9" sqref="A9:C9"/>
    </sheetView>
  </sheetViews>
  <sheetFormatPr defaultColWidth="18.7109375" defaultRowHeight="18.75" x14ac:dyDescent="0.25"/>
  <cols>
    <col min="1" max="4" width="24" style="26" customWidth="1"/>
    <col min="5" max="14" width="15.5703125" style="26" customWidth="1"/>
    <col min="15" max="15" width="16.5703125" style="26" customWidth="1"/>
    <col min="16" max="16384" width="18.7109375" style="26"/>
  </cols>
  <sheetData>
    <row r="1" spans="1:15" s="32" customFormat="1" ht="75" customHeight="1" x14ac:dyDescent="0.25">
      <c r="A1" s="38" t="s">
        <v>26</v>
      </c>
      <c r="B1" s="39"/>
      <c r="C1" s="39"/>
      <c r="D1" s="40"/>
      <c r="E1" s="34" t="s">
        <v>27</v>
      </c>
      <c r="F1" s="34"/>
      <c r="G1" s="34"/>
      <c r="H1" s="34"/>
      <c r="I1" s="34"/>
      <c r="J1" s="34"/>
      <c r="K1" s="34"/>
      <c r="L1" s="34"/>
      <c r="M1" s="34"/>
      <c r="N1" s="34"/>
      <c r="O1" s="35" t="s">
        <v>20</v>
      </c>
    </row>
    <row r="2" spans="1:15" ht="37.5" customHeight="1" x14ac:dyDescent="0.25">
      <c r="A2" s="36" t="s">
        <v>19</v>
      </c>
      <c r="B2" s="36"/>
      <c r="C2" s="28" t="s">
        <v>22</v>
      </c>
      <c r="D2" s="28" t="s">
        <v>21</v>
      </c>
      <c r="E2" s="28">
        <v>-1400</v>
      </c>
      <c r="F2" s="28">
        <v>-1200</v>
      </c>
      <c r="G2" s="28">
        <v>-1000</v>
      </c>
      <c r="H2" s="28">
        <v>-800</v>
      </c>
      <c r="I2" s="28">
        <v>-600</v>
      </c>
      <c r="J2" s="28">
        <v>-400</v>
      </c>
      <c r="K2" s="28">
        <v>-200</v>
      </c>
      <c r="L2" s="28">
        <v>0</v>
      </c>
      <c r="M2" s="28">
        <v>200</v>
      </c>
      <c r="N2" s="28">
        <v>400</v>
      </c>
      <c r="O2" s="35"/>
    </row>
    <row r="3" spans="1:15" ht="69" customHeight="1" x14ac:dyDescent="0.25">
      <c r="A3" s="29" t="s">
        <v>5</v>
      </c>
      <c r="B3" s="29" t="s">
        <v>8</v>
      </c>
      <c r="C3" s="33">
        <v>220</v>
      </c>
      <c r="D3" s="29">
        <v>2825</v>
      </c>
      <c r="E3" s="27">
        <f ca="1">' TK4 '!E2</f>
        <v>2585.6000000000004</v>
      </c>
      <c r="F3" s="25">
        <f ca="1">' TK4 '!E14</f>
        <v>2587.4</v>
      </c>
      <c r="G3" s="25">
        <f ca="1">' TK4 '!E26</f>
        <v>2589.8000000000002</v>
      </c>
      <c r="H3" s="25">
        <f ca="1">' TK4 '!E38</f>
        <v>2592.1999999999998</v>
      </c>
      <c r="I3" s="25">
        <f ca="1">' TK4 '!E50</f>
        <v>2594.6</v>
      </c>
      <c r="J3" s="25">
        <f ca="1">' TK4 '!E62</f>
        <v>2596.4</v>
      </c>
      <c r="K3" s="25">
        <f ca="1">' TK4 '!E74</f>
        <v>2598.8000000000002</v>
      </c>
      <c r="L3" s="25">
        <f ca="1">' TK4 '!E86</f>
        <v>2601.1999999999998</v>
      </c>
      <c r="M3" s="25">
        <f ca="1">' TK4 '!E98</f>
        <v>2603.6</v>
      </c>
      <c r="N3" s="25">
        <f ca="1">' TK4 '!E110</f>
        <v>2605.4</v>
      </c>
      <c r="O3" s="31">
        <f ca="1">(SUM(E3:N3)/10)/D3</f>
        <v>0.91876106194690266</v>
      </c>
    </row>
    <row r="4" spans="1:15" ht="69" customHeight="1" x14ac:dyDescent="0.25">
      <c r="A4" s="29" t="s">
        <v>10</v>
      </c>
      <c r="B4" s="29" t="s">
        <v>7</v>
      </c>
      <c r="C4" s="33">
        <v>220</v>
      </c>
      <c r="D4" s="29">
        <v>2825</v>
      </c>
      <c r="E4" s="25">
        <f ca="1">'TK5'!E2</f>
        <v>2585.1999999999998</v>
      </c>
      <c r="F4" s="25">
        <f ca="1">'TK5'!E14</f>
        <v>2587.4</v>
      </c>
      <c r="G4" s="25">
        <f ca="1">'TK5'!E26</f>
        <v>2589.8000000000002</v>
      </c>
      <c r="H4" s="25">
        <f ca="1">'TK5'!E38</f>
        <v>2592.1999999999998</v>
      </c>
      <c r="I4" s="25">
        <f ca="1">'TK5'!E50</f>
        <v>2594.1999999999998</v>
      </c>
      <c r="J4" s="25">
        <f ca="1">'TK5'!E62</f>
        <v>2596.4</v>
      </c>
      <c r="K4" s="25">
        <f ca="1">'TK5'!E74</f>
        <v>2598.8000000000002</v>
      </c>
      <c r="L4" s="25">
        <f ca="1">'TK5'!E86</f>
        <v>2601.1999999999998</v>
      </c>
      <c r="M4" s="25">
        <f ca="1">'TK5'!E98</f>
        <v>2603.6</v>
      </c>
      <c r="N4" s="25">
        <f ca="1">'TK5'!E110</f>
        <v>2605.4</v>
      </c>
      <c r="O4" s="31">
        <f t="shared" ref="O4:O9" ca="1" si="0">(SUM(E4:N4)/10)/D4</f>
        <v>0.91873274336283184</v>
      </c>
    </row>
    <row r="5" spans="1:15" ht="69" customHeight="1" x14ac:dyDescent="0.25">
      <c r="A5" s="29" t="s">
        <v>11</v>
      </c>
      <c r="B5" s="29" t="s">
        <v>23</v>
      </c>
      <c r="C5" s="33">
        <v>210</v>
      </c>
      <c r="D5" s="29">
        <v>24286</v>
      </c>
      <c r="E5" s="25">
        <f ca="1">'TK6'!E2</f>
        <v>22878.400000000001</v>
      </c>
      <c r="F5" s="25">
        <f ca="1">'TK6'!E14</f>
        <v>22908.2</v>
      </c>
      <c r="G5" s="25">
        <f ca="1">'TK6'!E26</f>
        <v>22935.599999999999</v>
      </c>
      <c r="H5" s="25">
        <f ca="1">'TK6'!E38</f>
        <v>22962</v>
      </c>
      <c r="I5" s="25">
        <f ca="1">'TK6'!E50</f>
        <v>22988.400000000001</v>
      </c>
      <c r="J5" s="25">
        <f ca="1">'TK6'!E62</f>
        <v>23014.799999999999</v>
      </c>
      <c r="K5" s="25">
        <f ca="1">'TK6'!E74</f>
        <v>23041.200000000001</v>
      </c>
      <c r="L5" s="25">
        <f ca="1">'TK6'!E86</f>
        <v>23067.599999999999</v>
      </c>
      <c r="M5" s="25">
        <f ca="1">'TK6'!E98</f>
        <v>23094</v>
      </c>
      <c r="N5" s="25">
        <f ca="1">'TK6'!E110</f>
        <v>23120.400000000001</v>
      </c>
      <c r="O5" s="31">
        <f t="shared" ca="1" si="0"/>
        <v>0.94709132833731369</v>
      </c>
    </row>
    <row r="6" spans="1:15" ht="69" customHeight="1" x14ac:dyDescent="0.25">
      <c r="A6" s="29" t="s">
        <v>13</v>
      </c>
      <c r="B6" s="29" t="s">
        <v>12</v>
      </c>
      <c r="C6" s="33">
        <v>210</v>
      </c>
      <c r="D6" s="29">
        <v>24286</v>
      </c>
      <c r="E6" s="25">
        <f ca="1">'TK7'!E2</f>
        <v>22892.400000000001</v>
      </c>
      <c r="F6" s="25">
        <f ca="1">'TK7'!E14</f>
        <v>22921.599999999999</v>
      </c>
      <c r="G6" s="25">
        <f ca="1">'TK7'!E26</f>
        <v>22949.200000000001</v>
      </c>
      <c r="H6" s="25">
        <f ca="1">'TK7'!E38</f>
        <v>22975.599999999999</v>
      </c>
      <c r="I6" s="25">
        <f ca="1">'TK7'!E50</f>
        <v>23002</v>
      </c>
      <c r="J6" s="25">
        <f ca="1">'TK7'!E62</f>
        <v>23029.200000000001</v>
      </c>
      <c r="K6" s="25">
        <f ca="1">'TK7'!E74</f>
        <v>23055.599999999999</v>
      </c>
      <c r="L6" s="25">
        <f ca="1">'TK7'!E86</f>
        <v>23082</v>
      </c>
      <c r="M6" s="25">
        <f ca="1">'TK7'!E98</f>
        <v>23109.200000000001</v>
      </c>
      <c r="N6" s="25">
        <f ca="1">'TK7'!E110</f>
        <v>23135.599999999999</v>
      </c>
      <c r="O6" s="31">
        <f t="shared" ca="1" si="0"/>
        <v>0.94767520382113157</v>
      </c>
    </row>
    <row r="7" spans="1:15" ht="69" customHeight="1" x14ac:dyDescent="0.25">
      <c r="A7" s="29" t="s">
        <v>15</v>
      </c>
      <c r="B7" s="29" t="s">
        <v>16</v>
      </c>
      <c r="C7" s="33">
        <v>210</v>
      </c>
      <c r="D7" s="29">
        <v>11621</v>
      </c>
      <c r="E7" s="25">
        <f ca="1">'TK11'!E2</f>
        <v>10841.8</v>
      </c>
      <c r="F7" s="25">
        <f ca="1">'TK11'!E14</f>
        <v>10794.6</v>
      </c>
      <c r="G7" s="25">
        <f ca="1">'TK11'!E26</f>
        <v>10746.599999999999</v>
      </c>
      <c r="H7" s="25">
        <f ca="1">'TK11'!E38</f>
        <v>10697.8</v>
      </c>
      <c r="I7" s="25">
        <f ca="1">'TK11'!E50</f>
        <v>10648.2</v>
      </c>
      <c r="J7" s="25">
        <f ca="1">'TK11'!E62</f>
        <v>10598.599999999999</v>
      </c>
      <c r="K7" s="25">
        <f ca="1">'TK11'!E74</f>
        <v>10549</v>
      </c>
      <c r="L7" s="25">
        <f ca="1">'TK11'!E86</f>
        <v>10498.599999999999</v>
      </c>
      <c r="M7" s="25">
        <f ca="1">'TK11'!E98</f>
        <v>10449</v>
      </c>
      <c r="N7" s="25">
        <f ca="1">'TK11'!E110</f>
        <v>10398.599999999999</v>
      </c>
      <c r="O7" s="31">
        <f t="shared" ca="1" si="0"/>
        <v>0.91405903106445252</v>
      </c>
    </row>
    <row r="8" spans="1:15" ht="69" customHeight="1" x14ac:dyDescent="0.25">
      <c r="A8" s="29" t="s">
        <v>17</v>
      </c>
      <c r="B8" s="29" t="s">
        <v>24</v>
      </c>
      <c r="C8" s="33">
        <v>210</v>
      </c>
      <c r="D8" s="29">
        <v>14827</v>
      </c>
      <c r="E8" s="25">
        <f ca="1">'TK12'!E2</f>
        <v>13963</v>
      </c>
      <c r="F8" s="25">
        <f ca="1">'TK12'!E14</f>
        <v>13915.8</v>
      </c>
      <c r="G8" s="25">
        <f ca="1">'TK12'!E26</f>
        <v>13868.6</v>
      </c>
      <c r="H8" s="25">
        <f ca="1">'TK12'!E38</f>
        <v>13820.6</v>
      </c>
      <c r="I8" s="25">
        <f ca="1">'TK12'!E50</f>
        <v>13772.599999999999</v>
      </c>
      <c r="J8" s="25">
        <f ca="1">'TK12'!E62</f>
        <v>13724.599999999999</v>
      </c>
      <c r="K8" s="25">
        <f ca="1">'TK12'!E74</f>
        <v>13675.8</v>
      </c>
      <c r="L8" s="25">
        <f ca="1">'TK12'!E86</f>
        <v>13625.4</v>
      </c>
      <c r="M8" s="25">
        <f ca="1">'TK12'!E98</f>
        <v>13575</v>
      </c>
      <c r="N8" s="25">
        <f ca="1">'TK12'!E110</f>
        <v>13524.599999999999</v>
      </c>
      <c r="O8" s="31">
        <f t="shared" ca="1" si="0"/>
        <v>0.92713293316247392</v>
      </c>
    </row>
    <row r="9" spans="1:15" ht="69" customHeight="1" x14ac:dyDescent="0.25">
      <c r="A9" s="37" t="s">
        <v>25</v>
      </c>
      <c r="B9" s="37"/>
      <c r="C9" s="37"/>
      <c r="D9" s="28">
        <f>SUM(D3:D8)</f>
        <v>80670</v>
      </c>
      <c r="E9" s="30">
        <f t="shared" ref="E9:N9" ca="1" si="1">SUM(E3:E8)</f>
        <v>75746.400000000009</v>
      </c>
      <c r="F9" s="30">
        <f t="shared" ca="1" si="1"/>
        <v>75715</v>
      </c>
      <c r="G9" s="30">
        <f t="shared" ca="1" si="1"/>
        <v>75679.599999999991</v>
      </c>
      <c r="H9" s="30">
        <f t="shared" ca="1" si="1"/>
        <v>75640.400000000009</v>
      </c>
      <c r="I9" s="30">
        <f t="shared" ca="1" si="1"/>
        <v>75600</v>
      </c>
      <c r="J9" s="30">
        <f t="shared" ca="1" si="1"/>
        <v>75560</v>
      </c>
      <c r="K9" s="30">
        <f t="shared" ca="1" si="1"/>
        <v>75519.199999999997</v>
      </c>
      <c r="L9" s="30">
        <f t="shared" ca="1" si="1"/>
        <v>75476</v>
      </c>
      <c r="M9" s="30">
        <f t="shared" ca="1" si="1"/>
        <v>75434.399999999994</v>
      </c>
      <c r="N9" s="30">
        <f t="shared" ca="1" si="1"/>
        <v>75390</v>
      </c>
      <c r="O9" s="31">
        <f t="shared" ca="1" si="0"/>
        <v>0.93685508863270117</v>
      </c>
    </row>
  </sheetData>
  <mergeCells count="5">
    <mergeCell ref="E1:N1"/>
    <mergeCell ref="O1:O2"/>
    <mergeCell ref="A2:B2"/>
    <mergeCell ref="A9:C9"/>
    <mergeCell ref="A1:D1"/>
  </mergeCells>
  <conditionalFormatting sqref="O3:O9">
    <cfRule type="cellIs" dxfId="0" priority="1" operator="between">
      <formula>0.9</formula>
      <formula>1</formula>
    </cfRule>
  </conditionalFormatting>
  <dataValidations count="1">
    <dataValidation type="decimal" allowBlank="1" showInputMessage="1" showErrorMessage="1" errorTitle="ATENÇÃO!" error="APENAS VALORES ENTRE 0 E 250" promptTitle="ATENÇÃO!" prompt="VALORES ENTRE 0 E 250" sqref="C3:C8" xr:uid="{8CF515C5-2FEB-4C01-855A-EE56CBA3873F}">
      <formula1>0</formula1>
      <formula2>250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D752-538C-4738-8212-0A51F9A433BD}">
  <dimension ref="A1:G179"/>
  <sheetViews>
    <sheetView zoomScale="118" zoomScaleNormal="118" workbookViewId="0">
      <selection activeCell="E2" sqref="E2"/>
    </sheetView>
  </sheetViews>
  <sheetFormatPr defaultRowHeight="15" x14ac:dyDescent="0.25"/>
  <cols>
    <col min="1" max="1" width="11.7109375" style="2" customWidth="1"/>
    <col min="2" max="2" width="26.5703125" style="15" customWidth="1"/>
    <col min="3" max="3" width="13.28515625" style="17" customWidth="1"/>
    <col min="4" max="4" width="31.28515625" style="2" customWidth="1"/>
    <col min="5" max="5" width="21.85546875" style="2" customWidth="1"/>
    <col min="6" max="16384" width="9.140625" style="2"/>
  </cols>
  <sheetData>
    <row r="1" spans="1:5" x14ac:dyDescent="0.25">
      <c r="A1" s="1" t="s">
        <v>0</v>
      </c>
      <c r="B1" s="3" t="s">
        <v>1</v>
      </c>
      <c r="D1" s="23" t="s">
        <v>3</v>
      </c>
      <c r="E1" s="4">
        <f>SONDAGEM!C3</f>
        <v>220</v>
      </c>
    </row>
    <row r="2" spans="1:5" x14ac:dyDescent="0.25">
      <c r="A2" s="1">
        <v>0</v>
      </c>
      <c r="B2" s="3">
        <v>729</v>
      </c>
      <c r="D2" s="23" t="s">
        <v>4</v>
      </c>
      <c r="E2" s="22">
        <f ca="1">FORECAST(E1,OFFSET(B2:B11,MATCH(E1,A2:A11,1)-1,0,2),OFFSET(A2:A11,MATCH(E1,A2:A11,1)-1,0,2))</f>
        <v>2585.6000000000004</v>
      </c>
    </row>
    <row r="3" spans="1:5" x14ac:dyDescent="0.25">
      <c r="A3" s="1">
        <v>25</v>
      </c>
      <c r="B3" s="3">
        <v>941</v>
      </c>
      <c r="D3" s="23" t="s">
        <v>5</v>
      </c>
      <c r="E3" s="1" t="s">
        <v>8</v>
      </c>
    </row>
    <row r="4" spans="1:5" x14ac:dyDescent="0.25">
      <c r="A4" s="1">
        <v>50</v>
      </c>
      <c r="B4" s="3">
        <v>1153</v>
      </c>
      <c r="D4" s="23" t="s">
        <v>2</v>
      </c>
      <c r="E4" s="5">
        <v>-1400</v>
      </c>
    </row>
    <row r="5" spans="1:5" x14ac:dyDescent="0.25">
      <c r="A5" s="1">
        <v>100</v>
      </c>
      <c r="B5" s="3">
        <v>1577</v>
      </c>
      <c r="D5" s="23" t="s">
        <v>9</v>
      </c>
      <c r="E5" s="4">
        <v>0.84</v>
      </c>
    </row>
    <row r="6" spans="1:5" x14ac:dyDescent="0.25">
      <c r="A6" s="1">
        <v>150</v>
      </c>
      <c r="B6" s="3">
        <v>2001</v>
      </c>
    </row>
    <row r="7" spans="1:5" x14ac:dyDescent="0.25">
      <c r="A7" s="1">
        <v>200</v>
      </c>
      <c r="B7" s="3">
        <v>2426</v>
      </c>
    </row>
    <row r="8" spans="1:5" x14ac:dyDescent="0.25">
      <c r="A8" s="1">
        <v>250</v>
      </c>
      <c r="B8" s="3">
        <v>2825</v>
      </c>
    </row>
    <row r="9" spans="1:5" x14ac:dyDescent="0.25">
      <c r="A9" s="1">
        <v>260</v>
      </c>
      <c r="B9" s="3">
        <v>2825</v>
      </c>
    </row>
    <row r="13" spans="1:5" x14ac:dyDescent="0.25">
      <c r="A13" s="1" t="s">
        <v>0</v>
      </c>
      <c r="B13" s="3" t="s">
        <v>1</v>
      </c>
      <c r="D13" s="23" t="s">
        <v>3</v>
      </c>
      <c r="E13" s="16">
        <f>SONDAGEM!C3</f>
        <v>220</v>
      </c>
    </row>
    <row r="14" spans="1:5" x14ac:dyDescent="0.25">
      <c r="A14" s="1">
        <v>0</v>
      </c>
      <c r="B14" s="3">
        <v>733</v>
      </c>
      <c r="D14" s="23" t="s">
        <v>4</v>
      </c>
      <c r="E14" s="16">
        <f ca="1">FORECAST(E13,OFFSET(B14:B23,MATCH(E13,A14:A23,1)-1,0,2),OFFSET(A14:A23,MATCH(E13,A14:A23,1)-1,0,2))</f>
        <v>2587.4</v>
      </c>
    </row>
    <row r="15" spans="1:5" x14ac:dyDescent="0.25">
      <c r="A15" s="1">
        <v>25</v>
      </c>
      <c r="B15" s="3">
        <v>945</v>
      </c>
      <c r="D15" s="23" t="s">
        <v>5</v>
      </c>
      <c r="E15" s="2" t="s">
        <v>8</v>
      </c>
    </row>
    <row r="16" spans="1:5" x14ac:dyDescent="0.25">
      <c r="A16" s="1">
        <v>50</v>
      </c>
      <c r="B16" s="3">
        <v>1157</v>
      </c>
      <c r="D16" s="23" t="s">
        <v>2</v>
      </c>
      <c r="E16" s="19">
        <f>E4+200</f>
        <v>-1200</v>
      </c>
    </row>
    <row r="17" spans="1:5" x14ac:dyDescent="0.25">
      <c r="A17" s="1">
        <v>100</v>
      </c>
      <c r="B17" s="3">
        <v>1581</v>
      </c>
      <c r="D17" s="23" t="s">
        <v>9</v>
      </c>
      <c r="E17" s="16">
        <v>0.84</v>
      </c>
    </row>
    <row r="18" spans="1:5" x14ac:dyDescent="0.25">
      <c r="A18" s="1">
        <v>150</v>
      </c>
      <c r="B18" s="3">
        <v>2005</v>
      </c>
    </row>
    <row r="19" spans="1:5" x14ac:dyDescent="0.25">
      <c r="A19" s="1">
        <v>200</v>
      </c>
      <c r="B19" s="3">
        <v>2429</v>
      </c>
    </row>
    <row r="20" spans="1:5" x14ac:dyDescent="0.25">
      <c r="A20" s="1">
        <v>250</v>
      </c>
      <c r="B20" s="3">
        <v>2825</v>
      </c>
    </row>
    <row r="21" spans="1:5" x14ac:dyDescent="0.25">
      <c r="A21" s="1">
        <v>260</v>
      </c>
      <c r="B21" s="3">
        <v>2825</v>
      </c>
    </row>
    <row r="25" spans="1:5" x14ac:dyDescent="0.25">
      <c r="A25" s="1" t="s">
        <v>0</v>
      </c>
      <c r="B25" s="3" t="s">
        <v>1</v>
      </c>
      <c r="D25" s="23" t="s">
        <v>3</v>
      </c>
      <c r="E25" s="16">
        <f>SONDAGEM!C3</f>
        <v>220</v>
      </c>
    </row>
    <row r="26" spans="1:5" x14ac:dyDescent="0.25">
      <c r="A26" s="1">
        <v>0</v>
      </c>
      <c r="B26" s="3">
        <v>736</v>
      </c>
      <c r="D26" s="23" t="s">
        <v>4</v>
      </c>
      <c r="E26" s="16">
        <f ca="1">FORECAST(E25,OFFSET(B26:B35,MATCH(E25,A26:A35,1)-1,0,2),OFFSET(A26:A35,MATCH(E25,A26:A35,1)-1,0,2))</f>
        <v>2589.8000000000002</v>
      </c>
    </row>
    <row r="27" spans="1:5" x14ac:dyDescent="0.25">
      <c r="A27" s="1">
        <v>25</v>
      </c>
      <c r="B27" s="3">
        <v>948</v>
      </c>
      <c r="D27" s="23" t="s">
        <v>5</v>
      </c>
      <c r="E27" s="2" t="s">
        <v>8</v>
      </c>
    </row>
    <row r="28" spans="1:5" x14ac:dyDescent="0.25">
      <c r="A28" s="1">
        <v>50</v>
      </c>
      <c r="B28" s="3">
        <v>1160</v>
      </c>
      <c r="D28" s="23" t="s">
        <v>2</v>
      </c>
      <c r="E28" s="19">
        <f>E16+200</f>
        <v>-1000</v>
      </c>
    </row>
    <row r="29" spans="1:5" x14ac:dyDescent="0.25">
      <c r="A29" s="1">
        <v>100</v>
      </c>
      <c r="B29" s="3">
        <v>1585</v>
      </c>
      <c r="D29" s="23" t="s">
        <v>9</v>
      </c>
      <c r="E29" s="6">
        <v>0.84</v>
      </c>
    </row>
    <row r="30" spans="1:5" x14ac:dyDescent="0.25">
      <c r="A30" s="1">
        <v>150</v>
      </c>
      <c r="B30" s="3">
        <v>2009</v>
      </c>
    </row>
    <row r="31" spans="1:5" x14ac:dyDescent="0.25">
      <c r="A31" s="1">
        <v>200</v>
      </c>
      <c r="B31" s="3">
        <v>2433</v>
      </c>
    </row>
    <row r="32" spans="1:5" x14ac:dyDescent="0.25">
      <c r="A32" s="1">
        <v>250</v>
      </c>
      <c r="B32" s="3">
        <v>2825</v>
      </c>
    </row>
    <row r="33" spans="1:5" x14ac:dyDescent="0.25">
      <c r="A33" s="1">
        <v>260</v>
      </c>
      <c r="B33" s="3">
        <v>2825</v>
      </c>
    </row>
    <row r="37" spans="1:5" x14ac:dyDescent="0.25">
      <c r="A37" s="1" t="s">
        <v>0</v>
      </c>
      <c r="B37" s="3" t="s">
        <v>1</v>
      </c>
      <c r="D37" s="23" t="s">
        <v>3</v>
      </c>
      <c r="E37" s="16">
        <f>SONDAGEM!C3</f>
        <v>220</v>
      </c>
    </row>
    <row r="38" spans="1:5" x14ac:dyDescent="0.25">
      <c r="A38" s="1">
        <v>0</v>
      </c>
      <c r="B38" s="3">
        <v>740</v>
      </c>
      <c r="D38" s="23" t="s">
        <v>4</v>
      </c>
      <c r="E38" s="16">
        <f ca="1">FORECAST(E37,OFFSET(B38:B47,MATCH(E37,A38:A47,1)-1,0,2),OFFSET(A38:A47,MATCH(E37,A38:A47,1)-1,0,2))</f>
        <v>2592.1999999999998</v>
      </c>
    </row>
    <row r="39" spans="1:5" x14ac:dyDescent="0.25">
      <c r="A39" s="1">
        <v>25</v>
      </c>
      <c r="B39" s="3">
        <v>952</v>
      </c>
      <c r="D39" s="23" t="s">
        <v>5</v>
      </c>
      <c r="E39" s="2" t="s">
        <v>8</v>
      </c>
    </row>
    <row r="40" spans="1:5" x14ac:dyDescent="0.25">
      <c r="A40" s="1">
        <v>50</v>
      </c>
      <c r="B40" s="3">
        <v>1164</v>
      </c>
      <c r="D40" s="23" t="s">
        <v>2</v>
      </c>
      <c r="E40" s="19">
        <f>E28+200</f>
        <v>-800</v>
      </c>
    </row>
    <row r="41" spans="1:5" x14ac:dyDescent="0.25">
      <c r="A41" s="1">
        <v>100</v>
      </c>
      <c r="B41" s="3">
        <v>1588</v>
      </c>
      <c r="D41" s="23" t="s">
        <v>9</v>
      </c>
      <c r="E41" s="6">
        <v>0.84</v>
      </c>
    </row>
    <row r="42" spans="1:5" x14ac:dyDescent="0.25">
      <c r="A42" s="1">
        <v>150</v>
      </c>
      <c r="B42" s="3">
        <v>2013</v>
      </c>
    </row>
    <row r="43" spans="1:5" x14ac:dyDescent="0.25">
      <c r="A43" s="1">
        <v>200</v>
      </c>
      <c r="B43" s="3">
        <v>2437</v>
      </c>
    </row>
    <row r="44" spans="1:5" x14ac:dyDescent="0.25">
      <c r="A44" s="1">
        <v>250</v>
      </c>
      <c r="B44" s="3">
        <v>2825</v>
      </c>
    </row>
    <row r="45" spans="1:5" x14ac:dyDescent="0.25">
      <c r="A45" s="1">
        <v>260</v>
      </c>
      <c r="B45" s="3">
        <v>2825</v>
      </c>
    </row>
    <row r="49" spans="1:5" x14ac:dyDescent="0.25">
      <c r="A49" s="1" t="s">
        <v>0</v>
      </c>
      <c r="B49" s="3" t="s">
        <v>1</v>
      </c>
      <c r="D49" s="23" t="s">
        <v>3</v>
      </c>
      <c r="E49" s="4">
        <f>SONDAGEM!C3</f>
        <v>220</v>
      </c>
    </row>
    <row r="50" spans="1:5" x14ac:dyDescent="0.25">
      <c r="A50" s="1">
        <v>0</v>
      </c>
      <c r="B50" s="3">
        <v>744</v>
      </c>
      <c r="D50" s="23" t="s">
        <v>4</v>
      </c>
      <c r="E50" s="4">
        <f ca="1">FORECAST(E49,OFFSET(B50:B59,MATCH(E49,A50:A59,1)-1,0,2),OFFSET(A50:A59,MATCH(E49,A50:A59,1)-1,0,2))</f>
        <v>2594.6</v>
      </c>
    </row>
    <row r="51" spans="1:5" x14ac:dyDescent="0.25">
      <c r="A51" s="1">
        <v>25</v>
      </c>
      <c r="B51" s="3">
        <v>956</v>
      </c>
      <c r="D51" s="23" t="s">
        <v>6</v>
      </c>
      <c r="E51" s="1" t="s">
        <v>8</v>
      </c>
    </row>
    <row r="52" spans="1:5" x14ac:dyDescent="0.25">
      <c r="A52" s="1">
        <v>50</v>
      </c>
      <c r="B52" s="3">
        <v>1168</v>
      </c>
      <c r="D52" s="23" t="s">
        <v>2</v>
      </c>
      <c r="E52" s="5">
        <f>E40+200</f>
        <v>-600</v>
      </c>
    </row>
    <row r="53" spans="1:5" x14ac:dyDescent="0.25">
      <c r="A53" s="1">
        <v>100</v>
      </c>
      <c r="B53" s="3">
        <v>1592</v>
      </c>
      <c r="D53" s="23" t="s">
        <v>9</v>
      </c>
      <c r="E53" s="1">
        <v>0.84</v>
      </c>
    </row>
    <row r="54" spans="1:5" x14ac:dyDescent="0.25">
      <c r="A54" s="1">
        <v>150</v>
      </c>
      <c r="B54" s="3">
        <v>2016</v>
      </c>
    </row>
    <row r="55" spans="1:5" x14ac:dyDescent="0.25">
      <c r="A55" s="1">
        <v>200</v>
      </c>
      <c r="B55" s="3">
        <v>2441</v>
      </c>
    </row>
    <row r="56" spans="1:5" x14ac:dyDescent="0.25">
      <c r="A56" s="1">
        <v>250</v>
      </c>
      <c r="B56" s="3">
        <v>2825</v>
      </c>
    </row>
    <row r="57" spans="1:5" x14ac:dyDescent="0.25">
      <c r="A57" s="1">
        <v>260</v>
      </c>
      <c r="B57" s="3">
        <v>2825</v>
      </c>
    </row>
    <row r="61" spans="1:5" x14ac:dyDescent="0.25">
      <c r="A61" s="1" t="s">
        <v>0</v>
      </c>
      <c r="B61" s="3" t="s">
        <v>1</v>
      </c>
      <c r="D61" s="23" t="s">
        <v>3</v>
      </c>
      <c r="E61" s="4">
        <f>SONDAGEM!C3</f>
        <v>220</v>
      </c>
    </row>
    <row r="62" spans="1:5" x14ac:dyDescent="0.25">
      <c r="A62" s="1">
        <v>0</v>
      </c>
      <c r="B62" s="3">
        <v>748</v>
      </c>
      <c r="D62" s="23" t="s">
        <v>4</v>
      </c>
      <c r="E62" s="4">
        <f ca="1">FORECAST(E61,OFFSET(B62:B71,MATCH(E61,A62:A71,1)-1,0,2),OFFSET(A62:A71,MATCH(E61,A62:A71,1)-1,0,2))</f>
        <v>2596.4</v>
      </c>
    </row>
    <row r="63" spans="1:5" x14ac:dyDescent="0.25">
      <c r="A63" s="1">
        <v>25</v>
      </c>
      <c r="B63" s="3">
        <v>960</v>
      </c>
      <c r="D63" s="23" t="s">
        <v>6</v>
      </c>
      <c r="E63" s="1" t="s">
        <v>7</v>
      </c>
    </row>
    <row r="64" spans="1:5" x14ac:dyDescent="0.25">
      <c r="A64" s="1">
        <v>50</v>
      </c>
      <c r="B64" s="3">
        <v>1172</v>
      </c>
      <c r="D64" s="23" t="s">
        <v>2</v>
      </c>
      <c r="E64" s="5">
        <f>E52+200</f>
        <v>-400</v>
      </c>
    </row>
    <row r="65" spans="1:5" x14ac:dyDescent="0.25">
      <c r="A65" s="1">
        <v>100</v>
      </c>
      <c r="B65" s="3">
        <v>1596</v>
      </c>
      <c r="D65" s="23" t="s">
        <v>9</v>
      </c>
      <c r="E65" s="1">
        <v>0.84</v>
      </c>
    </row>
    <row r="66" spans="1:5" x14ac:dyDescent="0.25">
      <c r="A66" s="1">
        <v>150</v>
      </c>
      <c r="B66" s="3">
        <v>2020</v>
      </c>
    </row>
    <row r="67" spans="1:5" x14ac:dyDescent="0.25">
      <c r="A67" s="1">
        <v>200</v>
      </c>
      <c r="B67" s="3">
        <v>2444</v>
      </c>
    </row>
    <row r="68" spans="1:5" x14ac:dyDescent="0.25">
      <c r="A68" s="1">
        <v>250</v>
      </c>
      <c r="B68" s="3">
        <v>2825</v>
      </c>
    </row>
    <row r="69" spans="1:5" x14ac:dyDescent="0.25">
      <c r="A69" s="1">
        <v>260</v>
      </c>
      <c r="B69" s="3">
        <v>2825</v>
      </c>
    </row>
    <row r="73" spans="1:5" x14ac:dyDescent="0.25">
      <c r="A73" s="1" t="s">
        <v>0</v>
      </c>
      <c r="B73" s="3" t="s">
        <v>1</v>
      </c>
      <c r="D73" s="23" t="s">
        <v>3</v>
      </c>
      <c r="E73" s="16">
        <f>SONDAGEM!C3</f>
        <v>220</v>
      </c>
    </row>
    <row r="74" spans="1:5" x14ac:dyDescent="0.25">
      <c r="A74" s="1">
        <v>0</v>
      </c>
      <c r="B74" s="3">
        <v>751</v>
      </c>
      <c r="D74" s="23" t="s">
        <v>4</v>
      </c>
      <c r="E74" s="16">
        <f ca="1">FORECAST(E73,OFFSET(B74:B83,MATCH(E73,A74:A83,1)-1,0,2),OFFSET(A74:A83,MATCH(E73,A74:A83,1)-1,0,2))</f>
        <v>2598.8000000000002</v>
      </c>
    </row>
    <row r="75" spans="1:5" x14ac:dyDescent="0.25">
      <c r="A75" s="1">
        <v>25</v>
      </c>
      <c r="B75" s="3">
        <v>963</v>
      </c>
      <c r="D75" s="23" t="s">
        <v>5</v>
      </c>
      <c r="E75" s="2" t="s">
        <v>8</v>
      </c>
    </row>
    <row r="76" spans="1:5" x14ac:dyDescent="0.25">
      <c r="A76" s="1">
        <v>50</v>
      </c>
      <c r="B76" s="3">
        <v>1176</v>
      </c>
      <c r="D76" s="23" t="s">
        <v>2</v>
      </c>
      <c r="E76" s="20">
        <f>E64+200</f>
        <v>-200</v>
      </c>
    </row>
    <row r="77" spans="1:5" x14ac:dyDescent="0.25">
      <c r="A77" s="1">
        <v>100</v>
      </c>
      <c r="B77" s="3">
        <v>1600</v>
      </c>
      <c r="D77" s="23" t="s">
        <v>9</v>
      </c>
      <c r="E77" s="6">
        <v>0.84</v>
      </c>
    </row>
    <row r="78" spans="1:5" x14ac:dyDescent="0.25">
      <c r="A78" s="1">
        <v>150</v>
      </c>
      <c r="B78" s="3">
        <v>2024</v>
      </c>
    </row>
    <row r="79" spans="1:5" x14ac:dyDescent="0.25">
      <c r="A79" s="1">
        <v>200</v>
      </c>
      <c r="B79" s="3">
        <v>2448</v>
      </c>
    </row>
    <row r="80" spans="1:5" x14ac:dyDescent="0.25">
      <c r="A80" s="1">
        <v>250</v>
      </c>
      <c r="B80" s="3">
        <v>2825</v>
      </c>
    </row>
    <row r="81" spans="1:5" x14ac:dyDescent="0.25">
      <c r="A81" s="1">
        <v>260</v>
      </c>
      <c r="B81" s="3">
        <v>2825</v>
      </c>
    </row>
    <row r="85" spans="1:5" x14ac:dyDescent="0.25">
      <c r="A85" s="1" t="s">
        <v>0</v>
      </c>
      <c r="B85" s="3" t="s">
        <v>1</v>
      </c>
      <c r="D85" s="23" t="s">
        <v>3</v>
      </c>
      <c r="E85" s="16">
        <f>SONDAGEM!C3</f>
        <v>220</v>
      </c>
    </row>
    <row r="86" spans="1:5" x14ac:dyDescent="0.25">
      <c r="A86" s="1">
        <v>0</v>
      </c>
      <c r="B86" s="3">
        <v>755</v>
      </c>
      <c r="D86" s="23" t="s">
        <v>4</v>
      </c>
      <c r="E86" s="16">
        <f ca="1">FORECAST(E85,OFFSET(B86:B95,MATCH(E85,A86:A95,1)-1,0,2),OFFSET(A86:A95,MATCH(E85,A86:A95,1)-1,0,2))</f>
        <v>2601.1999999999998</v>
      </c>
    </row>
    <row r="87" spans="1:5" x14ac:dyDescent="0.25">
      <c r="A87" s="1">
        <v>25</v>
      </c>
      <c r="B87" s="3">
        <v>967</v>
      </c>
      <c r="D87" s="23" t="s">
        <v>5</v>
      </c>
      <c r="E87" s="2" t="s">
        <v>8</v>
      </c>
    </row>
    <row r="88" spans="1:5" x14ac:dyDescent="0.25">
      <c r="A88" s="1">
        <v>50</v>
      </c>
      <c r="B88" s="3">
        <v>1179</v>
      </c>
      <c r="D88" s="23" t="s">
        <v>2</v>
      </c>
      <c r="E88" s="19">
        <f>E76+200</f>
        <v>0</v>
      </c>
    </row>
    <row r="89" spans="1:5" x14ac:dyDescent="0.25">
      <c r="A89" s="1">
        <v>100</v>
      </c>
      <c r="B89" s="3">
        <v>1603</v>
      </c>
      <c r="D89" s="23" t="s">
        <v>9</v>
      </c>
      <c r="E89" s="6">
        <v>0.84</v>
      </c>
    </row>
    <row r="90" spans="1:5" x14ac:dyDescent="0.25">
      <c r="A90" s="1">
        <v>150</v>
      </c>
      <c r="B90" s="3">
        <v>2028</v>
      </c>
    </row>
    <row r="91" spans="1:5" x14ac:dyDescent="0.25">
      <c r="A91" s="1">
        <v>200</v>
      </c>
      <c r="B91" s="3">
        <v>2452</v>
      </c>
    </row>
    <row r="92" spans="1:5" x14ac:dyDescent="0.25">
      <c r="A92" s="1">
        <v>250</v>
      </c>
      <c r="B92" s="3">
        <v>2825</v>
      </c>
    </row>
    <row r="93" spans="1:5" x14ac:dyDescent="0.25">
      <c r="A93" s="1">
        <v>260</v>
      </c>
      <c r="B93" s="3">
        <v>2825</v>
      </c>
    </row>
    <row r="97" spans="1:5" x14ac:dyDescent="0.25">
      <c r="A97" s="1" t="s">
        <v>0</v>
      </c>
      <c r="B97" s="3" t="s">
        <v>1</v>
      </c>
      <c r="D97" s="23" t="s">
        <v>3</v>
      </c>
      <c r="E97" s="16">
        <f>SONDAGEM!C3</f>
        <v>220</v>
      </c>
    </row>
    <row r="98" spans="1:5" x14ac:dyDescent="0.25">
      <c r="A98" s="1">
        <v>0</v>
      </c>
      <c r="B98" s="3">
        <v>759</v>
      </c>
      <c r="D98" s="23" t="s">
        <v>4</v>
      </c>
      <c r="E98" s="16">
        <f ca="1">FORECAST(E97,OFFSET(B98:B107,MATCH(E97,A98:A107,1)-1,0,2),OFFSET(A98:A107,MATCH(E97,A98:A107,1)-1,0,2))</f>
        <v>2603.6</v>
      </c>
    </row>
    <row r="99" spans="1:5" x14ac:dyDescent="0.25">
      <c r="A99" s="1">
        <v>25</v>
      </c>
      <c r="B99" s="3">
        <v>971</v>
      </c>
      <c r="D99" s="23" t="s">
        <v>5</v>
      </c>
      <c r="E99" s="2" t="s">
        <v>8</v>
      </c>
    </row>
    <row r="100" spans="1:5" x14ac:dyDescent="0.25">
      <c r="A100" s="1">
        <v>50</v>
      </c>
      <c r="B100" s="3">
        <v>1183</v>
      </c>
      <c r="D100" s="23" t="s">
        <v>2</v>
      </c>
      <c r="E100" s="20">
        <f>E88+200</f>
        <v>200</v>
      </c>
    </row>
    <row r="101" spans="1:5" x14ac:dyDescent="0.25">
      <c r="A101" s="1">
        <v>100</v>
      </c>
      <c r="B101" s="3">
        <v>1607</v>
      </c>
      <c r="D101" s="23" t="s">
        <v>9</v>
      </c>
      <c r="E101" s="6">
        <v>0.84</v>
      </c>
    </row>
    <row r="102" spans="1:5" x14ac:dyDescent="0.25">
      <c r="A102" s="1">
        <v>150</v>
      </c>
      <c r="B102" s="3">
        <v>2031</v>
      </c>
    </row>
    <row r="103" spans="1:5" x14ac:dyDescent="0.25">
      <c r="A103" s="1">
        <v>200</v>
      </c>
      <c r="B103" s="3">
        <v>2456</v>
      </c>
    </row>
    <row r="104" spans="1:5" x14ac:dyDescent="0.25">
      <c r="A104" s="1">
        <v>250</v>
      </c>
      <c r="B104" s="3">
        <v>2825</v>
      </c>
    </row>
    <row r="105" spans="1:5" x14ac:dyDescent="0.25">
      <c r="A105" s="1">
        <v>260</v>
      </c>
      <c r="B105" s="3">
        <v>2825</v>
      </c>
    </row>
    <row r="109" spans="1:5" x14ac:dyDescent="0.25">
      <c r="A109" s="1" t="s">
        <v>0</v>
      </c>
      <c r="B109" s="3" t="s">
        <v>1</v>
      </c>
      <c r="D109" s="23" t="s">
        <v>3</v>
      </c>
      <c r="E109" s="16">
        <f>SONDAGEM!C3</f>
        <v>220</v>
      </c>
    </row>
    <row r="110" spans="1:5" x14ac:dyDescent="0.25">
      <c r="A110" s="1">
        <v>0</v>
      </c>
      <c r="B110" s="3">
        <v>763</v>
      </c>
      <c r="D110" s="23" t="s">
        <v>4</v>
      </c>
      <c r="E110" s="16">
        <f ca="1">FORECAST(E109,OFFSET(B110:B119,MATCH(E109,A110:A119,1)-1,0,2),OFFSET(A110:A119,MATCH(E109,A110:A119,1)-1,0,2))</f>
        <v>2605.4</v>
      </c>
    </row>
    <row r="111" spans="1:5" x14ac:dyDescent="0.25">
      <c r="A111" s="1">
        <v>25</v>
      </c>
      <c r="B111" s="3">
        <v>975</v>
      </c>
      <c r="D111" s="23" t="s">
        <v>5</v>
      </c>
      <c r="E111" s="2" t="s">
        <v>8</v>
      </c>
    </row>
    <row r="112" spans="1:5" x14ac:dyDescent="0.25">
      <c r="A112" s="1">
        <v>50</v>
      </c>
      <c r="B112" s="3">
        <v>1187</v>
      </c>
      <c r="D112" s="23" t="s">
        <v>2</v>
      </c>
      <c r="E112" s="20">
        <f>E100+200</f>
        <v>400</v>
      </c>
    </row>
    <row r="113" spans="1:7" x14ac:dyDescent="0.25">
      <c r="A113" s="1">
        <v>100</v>
      </c>
      <c r="B113" s="3">
        <v>1611</v>
      </c>
      <c r="D113" s="23" t="s">
        <v>9</v>
      </c>
      <c r="E113" s="6">
        <v>0.84</v>
      </c>
    </row>
    <row r="114" spans="1:7" x14ac:dyDescent="0.25">
      <c r="A114" s="1">
        <v>150</v>
      </c>
      <c r="B114" s="3">
        <v>2035</v>
      </c>
    </row>
    <row r="115" spans="1:7" x14ac:dyDescent="0.25">
      <c r="A115" s="1">
        <v>200</v>
      </c>
      <c r="B115" s="3">
        <v>2459</v>
      </c>
    </row>
    <row r="116" spans="1:7" x14ac:dyDescent="0.25">
      <c r="A116" s="1">
        <v>250</v>
      </c>
      <c r="B116" s="3">
        <v>2825</v>
      </c>
    </row>
    <row r="117" spans="1:7" x14ac:dyDescent="0.25">
      <c r="A117" s="1">
        <v>260</v>
      </c>
      <c r="B117" s="3">
        <v>2825</v>
      </c>
    </row>
    <row r="120" spans="1:7" x14ac:dyDescent="0.25">
      <c r="A120" s="10"/>
      <c r="B120" s="14"/>
      <c r="C120" s="13"/>
      <c r="D120" s="10"/>
      <c r="E120" s="10"/>
      <c r="F120" s="10"/>
      <c r="G120" s="10"/>
    </row>
    <row r="121" spans="1:7" x14ac:dyDescent="0.25">
      <c r="A121" s="10"/>
      <c r="B121" s="14"/>
      <c r="C121" s="13"/>
      <c r="D121" s="10"/>
      <c r="E121" s="10"/>
      <c r="F121" s="10"/>
      <c r="G121" s="10"/>
    </row>
    <row r="122" spans="1:7" x14ac:dyDescent="0.25">
      <c r="A122" s="10"/>
      <c r="B122" s="14"/>
      <c r="C122" s="13"/>
      <c r="D122" s="10"/>
      <c r="E122" s="10"/>
      <c r="F122" s="10"/>
      <c r="G122" s="10"/>
    </row>
    <row r="123" spans="1:7" x14ac:dyDescent="0.25">
      <c r="A123" s="10"/>
      <c r="B123" s="14"/>
      <c r="C123" s="13"/>
      <c r="D123" s="10"/>
      <c r="E123" s="10"/>
      <c r="F123" s="10"/>
      <c r="G123" s="10"/>
    </row>
    <row r="124" spans="1:7" x14ac:dyDescent="0.25">
      <c r="A124" s="10"/>
      <c r="B124" s="14"/>
      <c r="C124" s="13"/>
      <c r="D124" s="10"/>
      <c r="E124" s="11"/>
      <c r="F124" s="10"/>
      <c r="G124" s="10"/>
    </row>
    <row r="125" spans="1:7" x14ac:dyDescent="0.25">
      <c r="A125" s="10"/>
      <c r="B125" s="14"/>
      <c r="C125" s="13"/>
      <c r="D125" s="10"/>
      <c r="E125" s="10"/>
      <c r="F125" s="10"/>
      <c r="G125" s="10"/>
    </row>
    <row r="126" spans="1:7" x14ac:dyDescent="0.25">
      <c r="A126" s="10"/>
      <c r="B126" s="14"/>
      <c r="C126" s="13"/>
      <c r="D126" s="10"/>
      <c r="E126" s="10"/>
      <c r="F126" s="10"/>
      <c r="G126" s="10"/>
    </row>
    <row r="127" spans="1:7" x14ac:dyDescent="0.25">
      <c r="A127" s="10"/>
      <c r="B127" s="14"/>
      <c r="C127" s="13"/>
      <c r="D127" s="10"/>
      <c r="E127" s="10"/>
      <c r="F127" s="10"/>
      <c r="G127" s="10"/>
    </row>
    <row r="128" spans="1:7" x14ac:dyDescent="0.25">
      <c r="A128" s="10"/>
      <c r="B128" s="14"/>
      <c r="C128" s="13"/>
      <c r="D128" s="10"/>
      <c r="E128" s="10"/>
      <c r="F128" s="10"/>
      <c r="G128" s="10"/>
    </row>
    <row r="129" spans="1:7" x14ac:dyDescent="0.25">
      <c r="A129" s="10"/>
      <c r="B129" s="14"/>
      <c r="C129" s="13"/>
      <c r="D129" s="10"/>
      <c r="E129" s="10"/>
      <c r="F129" s="10"/>
      <c r="G129" s="10"/>
    </row>
    <row r="130" spans="1:7" x14ac:dyDescent="0.25">
      <c r="A130" s="10"/>
      <c r="B130" s="14"/>
      <c r="C130" s="13"/>
      <c r="D130" s="10"/>
      <c r="E130" s="10"/>
      <c r="F130" s="10"/>
      <c r="G130" s="10"/>
    </row>
    <row r="131" spans="1:7" x14ac:dyDescent="0.25">
      <c r="A131" s="10"/>
      <c r="B131" s="14"/>
      <c r="C131" s="13"/>
      <c r="D131" s="10"/>
      <c r="E131" s="10"/>
      <c r="F131" s="10"/>
      <c r="G131" s="10"/>
    </row>
    <row r="132" spans="1:7" x14ac:dyDescent="0.25">
      <c r="A132" s="10"/>
      <c r="B132" s="14"/>
      <c r="C132" s="13"/>
      <c r="D132" s="10"/>
      <c r="E132" s="10"/>
      <c r="F132" s="10"/>
      <c r="G132" s="10"/>
    </row>
    <row r="133" spans="1:7" x14ac:dyDescent="0.25">
      <c r="A133" s="10"/>
      <c r="B133" s="14"/>
      <c r="C133" s="13"/>
      <c r="D133" s="10"/>
      <c r="E133" s="10"/>
      <c r="F133" s="10"/>
      <c r="G133" s="10"/>
    </row>
    <row r="134" spans="1:7" x14ac:dyDescent="0.25">
      <c r="A134" s="10"/>
      <c r="B134" s="14"/>
      <c r="C134" s="13"/>
      <c r="D134" s="10"/>
      <c r="E134" s="10"/>
      <c r="F134" s="10"/>
      <c r="G134" s="10"/>
    </row>
    <row r="135" spans="1:7" x14ac:dyDescent="0.25">
      <c r="A135" s="10"/>
      <c r="B135" s="14"/>
      <c r="C135" s="13"/>
      <c r="D135" s="10"/>
      <c r="E135" s="10"/>
      <c r="F135" s="10"/>
      <c r="G135" s="10"/>
    </row>
    <row r="136" spans="1:7" x14ac:dyDescent="0.25">
      <c r="A136" s="10"/>
      <c r="B136" s="14"/>
      <c r="C136" s="13"/>
      <c r="D136" s="10"/>
      <c r="E136" s="11"/>
      <c r="F136" s="10"/>
      <c r="G136" s="10"/>
    </row>
    <row r="137" spans="1:7" x14ac:dyDescent="0.25">
      <c r="A137" s="10"/>
      <c r="B137" s="14"/>
      <c r="C137" s="13"/>
      <c r="D137" s="10"/>
      <c r="E137" s="10"/>
      <c r="F137" s="10"/>
      <c r="G137" s="10"/>
    </row>
    <row r="138" spans="1:7" x14ac:dyDescent="0.25">
      <c r="A138" s="10"/>
      <c r="B138" s="14"/>
      <c r="C138" s="13"/>
      <c r="D138" s="10"/>
      <c r="E138" s="10"/>
      <c r="F138" s="10"/>
      <c r="G138" s="10"/>
    </row>
    <row r="139" spans="1:7" x14ac:dyDescent="0.25">
      <c r="A139" s="10"/>
      <c r="B139" s="14"/>
      <c r="C139" s="13"/>
      <c r="D139" s="10"/>
      <c r="E139" s="10"/>
      <c r="F139" s="10"/>
      <c r="G139" s="10"/>
    </row>
    <row r="140" spans="1:7" x14ac:dyDescent="0.25">
      <c r="A140" s="10"/>
      <c r="B140" s="14"/>
      <c r="C140" s="13"/>
      <c r="D140" s="10"/>
      <c r="E140" s="10"/>
      <c r="F140" s="10"/>
      <c r="G140" s="10"/>
    </row>
    <row r="141" spans="1:7" x14ac:dyDescent="0.25">
      <c r="A141" s="10"/>
      <c r="B141" s="14"/>
      <c r="C141" s="13"/>
      <c r="D141" s="10"/>
      <c r="E141" s="10"/>
      <c r="F141" s="10"/>
      <c r="G141" s="10"/>
    </row>
    <row r="142" spans="1:7" x14ac:dyDescent="0.25">
      <c r="A142" s="10"/>
      <c r="B142" s="14"/>
      <c r="C142" s="13"/>
      <c r="D142" s="10"/>
      <c r="E142" s="10"/>
      <c r="F142" s="10"/>
      <c r="G142" s="10"/>
    </row>
    <row r="143" spans="1:7" x14ac:dyDescent="0.25">
      <c r="A143" s="10"/>
      <c r="B143" s="14"/>
      <c r="C143" s="13"/>
      <c r="D143" s="10"/>
      <c r="E143" s="10"/>
      <c r="F143" s="10"/>
      <c r="G143" s="10"/>
    </row>
    <row r="144" spans="1:7" x14ac:dyDescent="0.25">
      <c r="A144" s="10"/>
      <c r="B144" s="14"/>
      <c r="C144" s="13"/>
      <c r="D144" s="10"/>
      <c r="E144" s="10"/>
      <c r="F144" s="10"/>
      <c r="G144" s="10"/>
    </row>
    <row r="145" spans="1:7" x14ac:dyDescent="0.25">
      <c r="A145" s="10"/>
      <c r="B145" s="14"/>
      <c r="C145" s="13"/>
      <c r="D145" s="10"/>
      <c r="E145" s="10"/>
      <c r="F145" s="10"/>
      <c r="G145" s="10"/>
    </row>
    <row r="146" spans="1:7" x14ac:dyDescent="0.25">
      <c r="A146" s="10"/>
      <c r="B146" s="14"/>
      <c r="C146" s="13"/>
      <c r="D146" s="10"/>
      <c r="E146" s="10"/>
      <c r="F146" s="10"/>
      <c r="G146" s="10"/>
    </row>
    <row r="147" spans="1:7" x14ac:dyDescent="0.25">
      <c r="A147" s="10"/>
      <c r="B147" s="14"/>
      <c r="C147" s="13"/>
      <c r="D147" s="10"/>
      <c r="E147" s="10"/>
      <c r="F147" s="10"/>
      <c r="G147" s="10"/>
    </row>
    <row r="148" spans="1:7" x14ac:dyDescent="0.25">
      <c r="A148" s="10"/>
      <c r="B148" s="14"/>
      <c r="C148" s="13"/>
      <c r="D148" s="10"/>
      <c r="E148" s="11"/>
      <c r="F148" s="10"/>
      <c r="G148" s="10"/>
    </row>
    <row r="149" spans="1:7" x14ac:dyDescent="0.25">
      <c r="A149" s="10"/>
      <c r="B149" s="14"/>
      <c r="C149" s="13"/>
      <c r="D149" s="10"/>
      <c r="E149" s="10"/>
      <c r="F149" s="10"/>
      <c r="G149" s="10"/>
    </row>
    <row r="150" spans="1:7" x14ac:dyDescent="0.25">
      <c r="A150" s="10"/>
      <c r="B150" s="14"/>
      <c r="C150" s="13"/>
      <c r="D150" s="10"/>
      <c r="E150" s="10"/>
      <c r="F150" s="10"/>
      <c r="G150" s="10"/>
    </row>
    <row r="151" spans="1:7" x14ac:dyDescent="0.25">
      <c r="A151" s="10"/>
      <c r="B151" s="14"/>
      <c r="C151" s="13"/>
      <c r="D151" s="10"/>
      <c r="E151" s="10"/>
      <c r="F151" s="10"/>
      <c r="G151" s="10"/>
    </row>
    <row r="152" spans="1:7" x14ac:dyDescent="0.25">
      <c r="A152" s="10"/>
      <c r="B152" s="14"/>
      <c r="C152" s="13"/>
      <c r="D152" s="10"/>
      <c r="E152" s="10"/>
      <c r="F152" s="10"/>
      <c r="G152" s="10"/>
    </row>
    <row r="153" spans="1:7" x14ac:dyDescent="0.25">
      <c r="A153" s="10"/>
      <c r="B153" s="14"/>
      <c r="C153" s="13"/>
      <c r="D153" s="10"/>
      <c r="E153" s="10"/>
      <c r="F153" s="10"/>
      <c r="G153" s="10"/>
    </row>
    <row r="154" spans="1:7" x14ac:dyDescent="0.25">
      <c r="A154" s="10"/>
      <c r="B154" s="14"/>
      <c r="C154" s="13"/>
      <c r="D154" s="10"/>
      <c r="E154" s="10"/>
      <c r="F154" s="10"/>
      <c r="G154" s="10"/>
    </row>
    <row r="155" spans="1:7" x14ac:dyDescent="0.25">
      <c r="A155" s="10"/>
      <c r="B155" s="14"/>
      <c r="C155" s="13"/>
      <c r="D155" s="10"/>
      <c r="E155" s="10"/>
      <c r="F155" s="10"/>
      <c r="G155" s="10"/>
    </row>
    <row r="156" spans="1:7" x14ac:dyDescent="0.25">
      <c r="A156" s="10"/>
      <c r="B156" s="14"/>
      <c r="C156" s="13"/>
      <c r="D156" s="10"/>
      <c r="E156" s="10"/>
      <c r="F156" s="10"/>
      <c r="G156" s="10"/>
    </row>
    <row r="157" spans="1:7" x14ac:dyDescent="0.25">
      <c r="A157" s="10"/>
      <c r="B157" s="14"/>
      <c r="C157" s="13"/>
      <c r="D157" s="10"/>
      <c r="E157" s="10"/>
      <c r="F157" s="10"/>
      <c r="G157" s="10"/>
    </row>
    <row r="158" spans="1:7" x14ac:dyDescent="0.25">
      <c r="A158" s="10"/>
      <c r="B158" s="14"/>
      <c r="C158" s="13"/>
      <c r="D158" s="10"/>
      <c r="E158" s="10"/>
      <c r="F158" s="10"/>
      <c r="G158" s="10"/>
    </row>
    <row r="159" spans="1:7" x14ac:dyDescent="0.25">
      <c r="A159" s="10"/>
      <c r="B159" s="14"/>
      <c r="C159" s="13"/>
      <c r="D159" s="10"/>
      <c r="E159" s="10"/>
      <c r="F159" s="10"/>
      <c r="G159" s="10"/>
    </row>
    <row r="160" spans="1:7" x14ac:dyDescent="0.25">
      <c r="A160" s="10"/>
      <c r="B160" s="14"/>
      <c r="C160" s="13"/>
      <c r="D160" s="10"/>
      <c r="E160" s="11"/>
      <c r="F160" s="10"/>
      <c r="G160" s="10"/>
    </row>
    <row r="161" spans="1:7" x14ac:dyDescent="0.25">
      <c r="A161" s="10"/>
      <c r="B161" s="14"/>
      <c r="C161" s="13"/>
      <c r="D161" s="10"/>
      <c r="E161" s="10"/>
      <c r="F161" s="10"/>
      <c r="G161" s="10"/>
    </row>
    <row r="162" spans="1:7" x14ac:dyDescent="0.25">
      <c r="A162" s="10"/>
      <c r="B162" s="14"/>
      <c r="C162" s="13"/>
      <c r="D162" s="10"/>
      <c r="E162" s="10"/>
      <c r="F162" s="10"/>
      <c r="G162" s="10"/>
    </row>
    <row r="163" spans="1:7" x14ac:dyDescent="0.25">
      <c r="A163" s="10"/>
      <c r="B163" s="14"/>
      <c r="C163" s="13"/>
      <c r="D163" s="10"/>
      <c r="E163" s="10"/>
      <c r="F163" s="10"/>
      <c r="G163" s="10"/>
    </row>
    <row r="164" spans="1:7" x14ac:dyDescent="0.25">
      <c r="A164" s="10"/>
      <c r="B164" s="14"/>
      <c r="C164" s="13"/>
      <c r="D164" s="10"/>
      <c r="E164" s="10"/>
      <c r="F164" s="10"/>
      <c r="G164" s="10"/>
    </row>
    <row r="165" spans="1:7" x14ac:dyDescent="0.25">
      <c r="A165" s="10"/>
      <c r="B165" s="14"/>
      <c r="C165" s="13"/>
      <c r="D165" s="10"/>
      <c r="E165" s="10"/>
      <c r="F165" s="10"/>
      <c r="G165" s="10"/>
    </row>
    <row r="166" spans="1:7" x14ac:dyDescent="0.25">
      <c r="A166" s="10"/>
      <c r="B166" s="14"/>
      <c r="C166" s="13"/>
      <c r="D166" s="10"/>
      <c r="E166" s="10"/>
      <c r="F166" s="10"/>
      <c r="G166" s="10"/>
    </row>
    <row r="167" spans="1:7" x14ac:dyDescent="0.25">
      <c r="A167" s="10"/>
      <c r="B167" s="14"/>
      <c r="C167" s="13"/>
      <c r="D167" s="10"/>
      <c r="E167" s="10"/>
      <c r="F167" s="10"/>
      <c r="G167" s="10"/>
    </row>
    <row r="168" spans="1:7" x14ac:dyDescent="0.25">
      <c r="A168" s="10"/>
      <c r="B168" s="14"/>
      <c r="C168" s="13"/>
      <c r="D168" s="10"/>
      <c r="E168" s="10"/>
      <c r="F168" s="10"/>
      <c r="G168" s="10"/>
    </row>
    <row r="169" spans="1:7" x14ac:dyDescent="0.25">
      <c r="A169" s="10"/>
      <c r="B169" s="14"/>
      <c r="C169" s="13"/>
      <c r="D169" s="10"/>
      <c r="E169" s="10"/>
      <c r="F169" s="10"/>
      <c r="G169" s="10"/>
    </row>
    <row r="170" spans="1:7" x14ac:dyDescent="0.25">
      <c r="A170" s="10"/>
      <c r="B170" s="14"/>
      <c r="C170" s="13"/>
      <c r="D170" s="10"/>
      <c r="E170" s="10"/>
      <c r="F170" s="10"/>
      <c r="G170" s="10"/>
    </row>
    <row r="171" spans="1:7" x14ac:dyDescent="0.25">
      <c r="A171" s="10"/>
      <c r="B171" s="14"/>
      <c r="C171" s="13"/>
      <c r="D171" s="10"/>
      <c r="E171" s="10"/>
      <c r="F171" s="10"/>
      <c r="G171" s="10"/>
    </row>
    <row r="172" spans="1:7" x14ac:dyDescent="0.25">
      <c r="A172" s="10"/>
      <c r="B172" s="14"/>
      <c r="C172" s="13"/>
      <c r="D172" s="10"/>
      <c r="E172" s="11"/>
      <c r="F172" s="10"/>
      <c r="G172" s="10"/>
    </row>
    <row r="173" spans="1:7" x14ac:dyDescent="0.25">
      <c r="A173" s="10"/>
      <c r="B173" s="14"/>
      <c r="C173" s="13"/>
      <c r="D173" s="10"/>
      <c r="E173" s="10"/>
      <c r="F173" s="10"/>
      <c r="G173" s="10"/>
    </row>
    <row r="174" spans="1:7" x14ac:dyDescent="0.25">
      <c r="A174" s="10"/>
      <c r="B174" s="14"/>
      <c r="C174" s="13"/>
      <c r="D174" s="10"/>
      <c r="E174" s="10"/>
      <c r="F174" s="10"/>
      <c r="G174" s="10"/>
    </row>
    <row r="175" spans="1:7" x14ac:dyDescent="0.25">
      <c r="A175" s="10"/>
      <c r="B175" s="14"/>
      <c r="C175" s="13"/>
      <c r="D175" s="10"/>
      <c r="E175" s="10"/>
      <c r="F175" s="10"/>
      <c r="G175" s="10"/>
    </row>
    <row r="176" spans="1:7" x14ac:dyDescent="0.25">
      <c r="A176" s="10"/>
      <c r="B176" s="14"/>
      <c r="C176" s="13"/>
      <c r="D176" s="10"/>
      <c r="E176" s="10"/>
      <c r="F176" s="10"/>
      <c r="G176" s="10"/>
    </row>
    <row r="177" spans="1:7" x14ac:dyDescent="0.25">
      <c r="A177" s="10"/>
      <c r="B177" s="14"/>
      <c r="C177" s="13"/>
      <c r="D177" s="10"/>
      <c r="E177" s="10"/>
      <c r="F177" s="10"/>
      <c r="G177" s="10"/>
    </row>
    <row r="178" spans="1:7" x14ac:dyDescent="0.25">
      <c r="A178" s="10"/>
      <c r="B178" s="14"/>
      <c r="C178" s="13"/>
      <c r="D178" s="10"/>
      <c r="E178" s="10"/>
      <c r="F178" s="10"/>
      <c r="G178" s="10"/>
    </row>
    <row r="179" spans="1:7" x14ac:dyDescent="0.25">
      <c r="A179" s="10"/>
      <c r="B179" s="14"/>
      <c r="C179" s="13"/>
      <c r="D179" s="10"/>
      <c r="E179" s="10"/>
      <c r="F179" s="10"/>
      <c r="G17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AF4D-61D6-461C-81EB-B402F7E5FF65}">
  <dimension ref="A1:E117"/>
  <sheetViews>
    <sheetView topLeftCell="A91" zoomScale="115" zoomScaleNormal="115" workbookViewId="0">
      <selection activeCell="E2" sqref="E2"/>
    </sheetView>
  </sheetViews>
  <sheetFormatPr defaultColWidth="17.7109375" defaultRowHeight="15" x14ac:dyDescent="0.25"/>
  <cols>
    <col min="1" max="1" width="17.7109375" style="2"/>
    <col min="2" max="2" width="22.7109375" style="12" customWidth="1"/>
    <col min="3" max="3" width="17.7109375" style="17"/>
    <col min="4" max="4" width="31.28515625" style="2" customWidth="1"/>
    <col min="5" max="16384" width="17.7109375" style="2"/>
  </cols>
  <sheetData>
    <row r="1" spans="1:5" x14ac:dyDescent="0.25">
      <c r="A1" s="1" t="s">
        <v>0</v>
      </c>
      <c r="B1" s="9" t="s">
        <v>1</v>
      </c>
      <c r="D1" s="23" t="s">
        <v>3</v>
      </c>
      <c r="E1" s="1">
        <f>SONDAGEM!C4</f>
        <v>220</v>
      </c>
    </row>
    <row r="2" spans="1:5" x14ac:dyDescent="0.25">
      <c r="A2" s="1">
        <v>0</v>
      </c>
      <c r="B2" s="1">
        <v>729</v>
      </c>
      <c r="D2" s="23" t="s">
        <v>4</v>
      </c>
      <c r="E2" s="1">
        <f ca="1">FORECAST(E1,OFFSET(B2:B11,MATCH(E1,A2:A11,1)-1,0,2),OFFSET(A2:A11,MATCH(E1,A2:A11,1)-1,0,2))</f>
        <v>2585.1999999999998</v>
      </c>
    </row>
    <row r="3" spans="1:5" x14ac:dyDescent="0.25">
      <c r="A3" s="1">
        <v>25</v>
      </c>
      <c r="B3" s="1">
        <v>941</v>
      </c>
      <c r="D3" s="23" t="s">
        <v>10</v>
      </c>
      <c r="E3" s="1" t="s">
        <v>8</v>
      </c>
    </row>
    <row r="4" spans="1:5" x14ac:dyDescent="0.25">
      <c r="A4" s="1">
        <v>50</v>
      </c>
      <c r="B4" s="1">
        <v>1153</v>
      </c>
      <c r="D4" s="23" t="s">
        <v>2</v>
      </c>
      <c r="E4" s="7">
        <v>-1400</v>
      </c>
    </row>
    <row r="5" spans="1:5" x14ac:dyDescent="0.25">
      <c r="A5" s="1">
        <v>100</v>
      </c>
      <c r="B5" s="1">
        <v>1577</v>
      </c>
      <c r="D5" s="23" t="s">
        <v>9</v>
      </c>
      <c r="E5" s="1">
        <v>0.84</v>
      </c>
    </row>
    <row r="6" spans="1:5" x14ac:dyDescent="0.25">
      <c r="A6" s="1">
        <v>150</v>
      </c>
      <c r="B6" s="1">
        <v>2001</v>
      </c>
    </row>
    <row r="7" spans="1:5" x14ac:dyDescent="0.25">
      <c r="A7" s="1">
        <v>200</v>
      </c>
      <c r="B7" s="1">
        <v>2426</v>
      </c>
    </row>
    <row r="8" spans="1:5" x14ac:dyDescent="0.25">
      <c r="A8" s="1">
        <v>250</v>
      </c>
      <c r="B8" s="1">
        <v>2824</v>
      </c>
    </row>
    <row r="9" spans="1:5" x14ac:dyDescent="0.25">
      <c r="A9" s="1">
        <v>260</v>
      </c>
      <c r="B9" s="1">
        <v>2825</v>
      </c>
    </row>
    <row r="13" spans="1:5" x14ac:dyDescent="0.25">
      <c r="A13" s="1" t="s">
        <v>0</v>
      </c>
      <c r="B13" s="9" t="s">
        <v>1</v>
      </c>
      <c r="D13" s="23" t="s">
        <v>3</v>
      </c>
      <c r="E13" s="1">
        <f>SONDAGEM!C4</f>
        <v>220</v>
      </c>
    </row>
    <row r="14" spans="1:5" x14ac:dyDescent="0.25">
      <c r="A14" s="1">
        <v>0</v>
      </c>
      <c r="B14" s="1">
        <v>733</v>
      </c>
      <c r="D14" s="23" t="s">
        <v>4</v>
      </c>
      <c r="E14" s="1">
        <f ca="1">FORECAST(E13,OFFSET(B14:B23,MATCH(E13,A14:A23,1)-1,0,2),OFFSET(A14:A23,MATCH(E13,A14:A23,1)-1,0,2))</f>
        <v>2587.4</v>
      </c>
    </row>
    <row r="15" spans="1:5" x14ac:dyDescent="0.25">
      <c r="A15" s="1">
        <v>25</v>
      </c>
      <c r="B15" s="1">
        <v>945</v>
      </c>
      <c r="D15" s="23" t="s">
        <v>10</v>
      </c>
      <c r="E15" s="1" t="s">
        <v>8</v>
      </c>
    </row>
    <row r="16" spans="1:5" x14ac:dyDescent="0.25">
      <c r="A16" s="1">
        <v>50</v>
      </c>
      <c r="B16" s="1">
        <v>1157</v>
      </c>
      <c r="D16" s="23" t="s">
        <v>2</v>
      </c>
      <c r="E16" s="7">
        <f>E4+200</f>
        <v>-1200</v>
      </c>
    </row>
    <row r="17" spans="1:5" x14ac:dyDescent="0.25">
      <c r="A17" s="1">
        <v>100</v>
      </c>
      <c r="B17" s="1">
        <v>1581</v>
      </c>
      <c r="D17" s="23" t="s">
        <v>9</v>
      </c>
      <c r="E17" s="1">
        <v>0.84</v>
      </c>
    </row>
    <row r="18" spans="1:5" x14ac:dyDescent="0.25">
      <c r="A18" s="1">
        <v>150</v>
      </c>
      <c r="B18" s="1">
        <v>2005</v>
      </c>
    </row>
    <row r="19" spans="1:5" x14ac:dyDescent="0.25">
      <c r="A19" s="1">
        <v>200</v>
      </c>
      <c r="B19" s="1">
        <v>2429</v>
      </c>
    </row>
    <row r="20" spans="1:5" x14ac:dyDescent="0.25">
      <c r="A20" s="1">
        <v>250</v>
      </c>
      <c r="B20" s="1">
        <v>2825</v>
      </c>
    </row>
    <row r="21" spans="1:5" x14ac:dyDescent="0.25">
      <c r="A21" s="1">
        <v>260</v>
      </c>
      <c r="B21" s="1">
        <v>2825</v>
      </c>
    </row>
    <row r="25" spans="1:5" x14ac:dyDescent="0.25">
      <c r="A25" s="1" t="s">
        <v>0</v>
      </c>
      <c r="B25" s="9" t="s">
        <v>1</v>
      </c>
      <c r="D25" s="23" t="s">
        <v>3</v>
      </c>
      <c r="E25" s="1">
        <f>SONDAGEM!C4</f>
        <v>220</v>
      </c>
    </row>
    <row r="26" spans="1:5" x14ac:dyDescent="0.25">
      <c r="A26" s="1">
        <v>0</v>
      </c>
      <c r="B26" s="1">
        <v>736</v>
      </c>
      <c r="D26" s="23" t="s">
        <v>4</v>
      </c>
      <c r="E26" s="1">
        <f ca="1">FORECAST(E25,OFFSET(B26:B35,MATCH(E25,A26:A35,1)-1,0,2),OFFSET(A26:A35,MATCH(E25,A26:A35,1)-1,0,2))</f>
        <v>2589.8000000000002</v>
      </c>
    </row>
    <row r="27" spans="1:5" x14ac:dyDescent="0.25">
      <c r="A27" s="1">
        <v>25</v>
      </c>
      <c r="B27" s="1">
        <v>948</v>
      </c>
      <c r="D27" s="23" t="s">
        <v>10</v>
      </c>
      <c r="E27" s="1" t="s">
        <v>8</v>
      </c>
    </row>
    <row r="28" spans="1:5" x14ac:dyDescent="0.25">
      <c r="A28" s="1">
        <v>50</v>
      </c>
      <c r="B28" s="1">
        <v>1160</v>
      </c>
      <c r="D28" s="23" t="s">
        <v>2</v>
      </c>
      <c r="E28" s="7">
        <f>E16+200</f>
        <v>-1000</v>
      </c>
    </row>
    <row r="29" spans="1:5" x14ac:dyDescent="0.25">
      <c r="A29" s="1">
        <v>100</v>
      </c>
      <c r="B29" s="1">
        <v>1585</v>
      </c>
      <c r="D29" s="23" t="s">
        <v>9</v>
      </c>
      <c r="E29" s="1">
        <v>0.84</v>
      </c>
    </row>
    <row r="30" spans="1:5" x14ac:dyDescent="0.25">
      <c r="A30" s="1">
        <v>150</v>
      </c>
      <c r="B30" s="1">
        <v>2009</v>
      </c>
    </row>
    <row r="31" spans="1:5" x14ac:dyDescent="0.25">
      <c r="A31" s="1">
        <v>200</v>
      </c>
      <c r="B31" s="1">
        <v>2433</v>
      </c>
    </row>
    <row r="32" spans="1:5" x14ac:dyDescent="0.25">
      <c r="A32" s="1">
        <v>250</v>
      </c>
      <c r="B32" s="1">
        <v>2825</v>
      </c>
    </row>
    <row r="33" spans="1:5" x14ac:dyDescent="0.25">
      <c r="A33" s="1">
        <v>260</v>
      </c>
      <c r="B33" s="1">
        <v>2825</v>
      </c>
    </row>
    <row r="37" spans="1:5" x14ac:dyDescent="0.25">
      <c r="A37" s="1" t="s">
        <v>0</v>
      </c>
      <c r="B37" s="9" t="s">
        <v>1</v>
      </c>
      <c r="D37" s="23" t="s">
        <v>3</v>
      </c>
      <c r="E37" s="1">
        <f>SONDAGEM!C4</f>
        <v>220</v>
      </c>
    </row>
    <row r="38" spans="1:5" x14ac:dyDescent="0.25">
      <c r="A38" s="1">
        <v>0</v>
      </c>
      <c r="B38" s="1">
        <v>740</v>
      </c>
      <c r="D38" s="23" t="s">
        <v>4</v>
      </c>
      <c r="E38" s="1">
        <f ca="1">FORECAST(E37,OFFSET(B38:B47,MATCH(E37,A38:A47,1)-1,0,2),OFFSET(A38:A47,MATCH(E37,A38:A47,1)-1,0,2))</f>
        <v>2592.1999999999998</v>
      </c>
    </row>
    <row r="39" spans="1:5" x14ac:dyDescent="0.25">
      <c r="A39" s="1">
        <v>25</v>
      </c>
      <c r="B39" s="1">
        <v>952</v>
      </c>
      <c r="D39" s="23" t="s">
        <v>10</v>
      </c>
      <c r="E39" s="1" t="s">
        <v>8</v>
      </c>
    </row>
    <row r="40" spans="1:5" x14ac:dyDescent="0.25">
      <c r="A40" s="1">
        <v>50</v>
      </c>
      <c r="B40" s="1">
        <v>1164</v>
      </c>
      <c r="D40" s="23" t="s">
        <v>2</v>
      </c>
      <c r="E40" s="7">
        <f>E28+200</f>
        <v>-800</v>
      </c>
    </row>
    <row r="41" spans="1:5" x14ac:dyDescent="0.25">
      <c r="A41" s="1">
        <v>100</v>
      </c>
      <c r="B41" s="1">
        <v>1588</v>
      </c>
      <c r="D41" s="23" t="s">
        <v>9</v>
      </c>
      <c r="E41" s="1">
        <v>0.84</v>
      </c>
    </row>
    <row r="42" spans="1:5" x14ac:dyDescent="0.25">
      <c r="A42" s="1">
        <v>150</v>
      </c>
      <c r="B42" s="1">
        <v>2013</v>
      </c>
    </row>
    <row r="43" spans="1:5" x14ac:dyDescent="0.25">
      <c r="A43" s="1">
        <v>200</v>
      </c>
      <c r="B43" s="1">
        <v>2437</v>
      </c>
    </row>
    <row r="44" spans="1:5" x14ac:dyDescent="0.25">
      <c r="A44" s="1">
        <v>250</v>
      </c>
      <c r="B44" s="1">
        <v>2825</v>
      </c>
    </row>
    <row r="45" spans="1:5" x14ac:dyDescent="0.25">
      <c r="A45" s="1">
        <v>260</v>
      </c>
      <c r="B45" s="1">
        <v>2825</v>
      </c>
    </row>
    <row r="49" spans="1:5" x14ac:dyDescent="0.25">
      <c r="A49" s="1" t="s">
        <v>0</v>
      </c>
      <c r="B49" s="9" t="s">
        <v>1</v>
      </c>
      <c r="D49" s="23" t="s">
        <v>3</v>
      </c>
      <c r="E49" s="1">
        <f>SONDAGEM!C4</f>
        <v>220</v>
      </c>
    </row>
    <row r="50" spans="1:5" x14ac:dyDescent="0.25">
      <c r="A50" s="1">
        <v>0</v>
      </c>
      <c r="B50" s="1">
        <v>744</v>
      </c>
      <c r="D50" s="23" t="s">
        <v>4</v>
      </c>
      <c r="E50" s="1">
        <f ca="1">FORECAST(E49,OFFSET(B50:B59,MATCH(E49,A50:A59,1)-1,0,2),OFFSET(A50:A59,MATCH(E49,A50:A59,1)-1,0,2))</f>
        <v>2594.1999999999998</v>
      </c>
    </row>
    <row r="51" spans="1:5" x14ac:dyDescent="0.25">
      <c r="A51" s="1">
        <v>25</v>
      </c>
      <c r="B51" s="1">
        <v>956</v>
      </c>
      <c r="D51" s="23" t="s">
        <v>10</v>
      </c>
      <c r="E51" s="1" t="s">
        <v>8</v>
      </c>
    </row>
    <row r="52" spans="1:5" x14ac:dyDescent="0.25">
      <c r="A52" s="1">
        <v>50</v>
      </c>
      <c r="B52" s="1">
        <v>1168</v>
      </c>
      <c r="D52" s="23" t="s">
        <v>2</v>
      </c>
      <c r="E52" s="7">
        <f>E40+200</f>
        <v>-600</v>
      </c>
    </row>
    <row r="53" spans="1:5" x14ac:dyDescent="0.25">
      <c r="A53" s="1">
        <v>100</v>
      </c>
      <c r="B53" s="1">
        <v>1592</v>
      </c>
      <c r="D53" s="23" t="s">
        <v>9</v>
      </c>
      <c r="E53" s="1">
        <v>0.84</v>
      </c>
    </row>
    <row r="54" spans="1:5" x14ac:dyDescent="0.25">
      <c r="A54" s="1">
        <v>150</v>
      </c>
      <c r="B54" s="1">
        <v>2016</v>
      </c>
    </row>
    <row r="55" spans="1:5" x14ac:dyDescent="0.25">
      <c r="A55" s="1">
        <v>200</v>
      </c>
      <c r="B55" s="1">
        <v>2441</v>
      </c>
    </row>
    <row r="56" spans="1:5" x14ac:dyDescent="0.25">
      <c r="A56" s="1">
        <v>250</v>
      </c>
      <c r="B56" s="1">
        <v>2824</v>
      </c>
    </row>
    <row r="57" spans="1:5" x14ac:dyDescent="0.25">
      <c r="A57" s="1">
        <v>260</v>
      </c>
      <c r="B57" s="1">
        <v>2825</v>
      </c>
    </row>
    <row r="61" spans="1:5" x14ac:dyDescent="0.25">
      <c r="A61" s="1" t="s">
        <v>0</v>
      </c>
      <c r="B61" s="9" t="s">
        <v>1</v>
      </c>
      <c r="D61" s="24" t="s">
        <v>3</v>
      </c>
      <c r="E61" s="1">
        <f>SONDAGEM!C4</f>
        <v>220</v>
      </c>
    </row>
    <row r="62" spans="1:5" x14ac:dyDescent="0.25">
      <c r="A62" s="1">
        <v>0</v>
      </c>
      <c r="B62" s="1">
        <v>748</v>
      </c>
      <c r="D62" s="24" t="s">
        <v>4</v>
      </c>
      <c r="E62" s="1">
        <f ca="1">FORECAST(E61,OFFSET(B62:B71,MATCH(E61,A62:A71,1)-1,0,2),OFFSET(A62:A71,MATCH(E61,A62:A71,1)-1,0,2))</f>
        <v>2596.4</v>
      </c>
    </row>
    <row r="63" spans="1:5" x14ac:dyDescent="0.25">
      <c r="A63" s="1">
        <v>25</v>
      </c>
      <c r="B63" s="1">
        <v>960</v>
      </c>
      <c r="D63" s="24" t="s">
        <v>10</v>
      </c>
      <c r="E63" s="1" t="s">
        <v>7</v>
      </c>
    </row>
    <row r="64" spans="1:5" x14ac:dyDescent="0.25">
      <c r="A64" s="1">
        <v>50</v>
      </c>
      <c r="B64" s="1">
        <v>1172</v>
      </c>
      <c r="D64" s="24" t="s">
        <v>2</v>
      </c>
      <c r="E64" s="7">
        <f>E52+200</f>
        <v>-400</v>
      </c>
    </row>
    <row r="65" spans="1:5" x14ac:dyDescent="0.25">
      <c r="A65" s="1">
        <v>100</v>
      </c>
      <c r="B65" s="1">
        <v>1596</v>
      </c>
      <c r="D65" s="24" t="s">
        <v>9</v>
      </c>
      <c r="E65" s="1">
        <v>0.84</v>
      </c>
    </row>
    <row r="66" spans="1:5" x14ac:dyDescent="0.25">
      <c r="A66" s="1">
        <v>150</v>
      </c>
      <c r="B66" s="1">
        <v>2020</v>
      </c>
    </row>
    <row r="67" spans="1:5" x14ac:dyDescent="0.25">
      <c r="A67" s="1">
        <v>200</v>
      </c>
      <c r="B67" s="1">
        <v>2444</v>
      </c>
    </row>
    <row r="68" spans="1:5" x14ac:dyDescent="0.25">
      <c r="A68" s="1">
        <v>250</v>
      </c>
      <c r="B68" s="1">
        <v>2825</v>
      </c>
    </row>
    <row r="69" spans="1:5" x14ac:dyDescent="0.25">
      <c r="A69" s="1">
        <v>260</v>
      </c>
      <c r="B69" s="1">
        <v>2825</v>
      </c>
    </row>
    <row r="73" spans="1:5" x14ac:dyDescent="0.25">
      <c r="A73" s="1" t="s">
        <v>0</v>
      </c>
      <c r="B73" s="9" t="s">
        <v>1</v>
      </c>
      <c r="D73" s="24" t="s">
        <v>3</v>
      </c>
      <c r="E73" s="1">
        <f>SONDAGEM!C4</f>
        <v>220</v>
      </c>
    </row>
    <row r="74" spans="1:5" x14ac:dyDescent="0.25">
      <c r="A74" s="1">
        <v>0</v>
      </c>
      <c r="B74" s="1">
        <v>751</v>
      </c>
      <c r="D74" s="24" t="s">
        <v>4</v>
      </c>
      <c r="E74" s="1">
        <f ca="1">FORECAST(E73,OFFSET(B74:B83,MATCH(E73,A74:A83,1)-1,0,2),OFFSET(A74:A83,MATCH(E73,A74:A83,1)-1,0,2))</f>
        <v>2598.8000000000002</v>
      </c>
    </row>
    <row r="75" spans="1:5" x14ac:dyDescent="0.25">
      <c r="A75" s="1">
        <v>25</v>
      </c>
      <c r="B75" s="1">
        <v>963</v>
      </c>
      <c r="D75" s="24" t="s">
        <v>10</v>
      </c>
      <c r="E75" s="8" t="s">
        <v>8</v>
      </c>
    </row>
    <row r="76" spans="1:5" x14ac:dyDescent="0.25">
      <c r="A76" s="1">
        <v>50</v>
      </c>
      <c r="B76" s="1">
        <v>1176</v>
      </c>
      <c r="D76" s="24" t="s">
        <v>2</v>
      </c>
      <c r="E76" s="7">
        <f>E64+200</f>
        <v>-200</v>
      </c>
    </row>
    <row r="77" spans="1:5" x14ac:dyDescent="0.25">
      <c r="A77" s="1">
        <v>100</v>
      </c>
      <c r="B77" s="1">
        <v>1600</v>
      </c>
      <c r="D77" s="24" t="s">
        <v>9</v>
      </c>
      <c r="E77" s="1">
        <v>0.84</v>
      </c>
    </row>
    <row r="78" spans="1:5" x14ac:dyDescent="0.25">
      <c r="A78" s="1">
        <v>150</v>
      </c>
      <c r="B78" s="1">
        <v>2024</v>
      </c>
    </row>
    <row r="79" spans="1:5" x14ac:dyDescent="0.25">
      <c r="A79" s="1">
        <v>200</v>
      </c>
      <c r="B79" s="1">
        <v>2448</v>
      </c>
    </row>
    <row r="80" spans="1:5" x14ac:dyDescent="0.25">
      <c r="A80" s="1">
        <v>250</v>
      </c>
      <c r="B80" s="1">
        <v>2825</v>
      </c>
    </row>
    <row r="81" spans="1:5" x14ac:dyDescent="0.25">
      <c r="A81" s="1">
        <v>260</v>
      </c>
      <c r="B81" s="1">
        <v>2825</v>
      </c>
    </row>
    <row r="85" spans="1:5" x14ac:dyDescent="0.25">
      <c r="A85" s="1" t="s">
        <v>0</v>
      </c>
      <c r="B85" s="9" t="s">
        <v>1</v>
      </c>
      <c r="D85" s="23" t="s">
        <v>3</v>
      </c>
      <c r="E85" s="1">
        <f>SONDAGEM!C4</f>
        <v>220</v>
      </c>
    </row>
    <row r="86" spans="1:5" x14ac:dyDescent="0.25">
      <c r="A86" s="1">
        <v>0</v>
      </c>
      <c r="B86" s="1">
        <v>755</v>
      </c>
      <c r="D86" s="23" t="s">
        <v>4</v>
      </c>
      <c r="E86" s="1">
        <f ca="1">FORECAST(E85,OFFSET(B86:B95,MATCH(E85,A86:A95,1)-1,0,2),OFFSET(A86:A95,MATCH(E85,A86:A95,1)-1,0,2))</f>
        <v>2601.1999999999998</v>
      </c>
    </row>
    <row r="87" spans="1:5" x14ac:dyDescent="0.25">
      <c r="A87" s="1">
        <v>25</v>
      </c>
      <c r="B87" s="1">
        <v>967</v>
      </c>
      <c r="D87" s="23" t="s">
        <v>10</v>
      </c>
      <c r="E87" s="1" t="s">
        <v>8</v>
      </c>
    </row>
    <row r="88" spans="1:5" x14ac:dyDescent="0.25">
      <c r="A88" s="1">
        <v>50</v>
      </c>
      <c r="B88" s="1">
        <v>1179</v>
      </c>
      <c r="D88" s="23" t="s">
        <v>2</v>
      </c>
      <c r="E88" s="7">
        <f>E76+200</f>
        <v>0</v>
      </c>
    </row>
    <row r="89" spans="1:5" x14ac:dyDescent="0.25">
      <c r="A89" s="1">
        <v>100</v>
      </c>
      <c r="B89" s="1">
        <v>1603</v>
      </c>
      <c r="D89" s="23" t="s">
        <v>9</v>
      </c>
      <c r="E89" s="1">
        <v>0.84</v>
      </c>
    </row>
    <row r="90" spans="1:5" x14ac:dyDescent="0.25">
      <c r="A90" s="1">
        <v>150</v>
      </c>
      <c r="B90" s="1">
        <v>2028</v>
      </c>
    </row>
    <row r="91" spans="1:5" x14ac:dyDescent="0.25">
      <c r="A91" s="1">
        <v>200</v>
      </c>
      <c r="B91" s="1">
        <v>2452</v>
      </c>
    </row>
    <row r="92" spans="1:5" x14ac:dyDescent="0.25">
      <c r="A92" s="1">
        <v>250</v>
      </c>
      <c r="B92" s="1">
        <v>2825</v>
      </c>
    </row>
    <row r="93" spans="1:5" x14ac:dyDescent="0.25">
      <c r="A93" s="1">
        <v>260</v>
      </c>
      <c r="B93" s="1">
        <v>2825</v>
      </c>
    </row>
    <row r="97" spans="1:5" x14ac:dyDescent="0.25">
      <c r="A97" s="1" t="s">
        <v>0</v>
      </c>
      <c r="B97" s="9" t="s">
        <v>1</v>
      </c>
      <c r="D97" s="23" t="s">
        <v>3</v>
      </c>
      <c r="E97" s="1">
        <f>SONDAGEM!C4</f>
        <v>220</v>
      </c>
    </row>
    <row r="98" spans="1:5" x14ac:dyDescent="0.25">
      <c r="A98" s="1">
        <v>0</v>
      </c>
      <c r="B98" s="1">
        <v>759</v>
      </c>
      <c r="D98" s="23" t="s">
        <v>4</v>
      </c>
      <c r="E98" s="1">
        <f ca="1">FORECAST(E97,OFFSET(B98:B107,MATCH(E97,A98:A107,1)-1,0,2),OFFSET(A98:A107,MATCH(E97,A98:A107,1)-1,0,2))</f>
        <v>2603.6</v>
      </c>
    </row>
    <row r="99" spans="1:5" x14ac:dyDescent="0.25">
      <c r="A99" s="1">
        <v>25</v>
      </c>
      <c r="B99" s="1">
        <v>971</v>
      </c>
      <c r="D99" s="23" t="s">
        <v>10</v>
      </c>
      <c r="E99" s="1" t="s">
        <v>8</v>
      </c>
    </row>
    <row r="100" spans="1:5" x14ac:dyDescent="0.25">
      <c r="A100" s="1">
        <v>50</v>
      </c>
      <c r="B100" s="1">
        <v>1183</v>
      </c>
      <c r="D100" s="23" t="s">
        <v>2</v>
      </c>
      <c r="E100" s="7">
        <f>E88+200</f>
        <v>200</v>
      </c>
    </row>
    <row r="101" spans="1:5" x14ac:dyDescent="0.25">
      <c r="A101" s="1">
        <v>100</v>
      </c>
      <c r="B101" s="1">
        <v>1607</v>
      </c>
      <c r="D101" s="23" t="s">
        <v>9</v>
      </c>
      <c r="E101" s="1">
        <v>0.84</v>
      </c>
    </row>
    <row r="102" spans="1:5" x14ac:dyDescent="0.25">
      <c r="A102" s="1">
        <v>150</v>
      </c>
      <c r="B102" s="1">
        <v>2031.0000000000002</v>
      </c>
    </row>
    <row r="103" spans="1:5" x14ac:dyDescent="0.25">
      <c r="A103" s="1">
        <v>200</v>
      </c>
      <c r="B103" s="1">
        <v>2456</v>
      </c>
    </row>
    <row r="104" spans="1:5" x14ac:dyDescent="0.25">
      <c r="A104" s="1">
        <v>250</v>
      </c>
      <c r="B104" s="1">
        <v>2825</v>
      </c>
    </row>
    <row r="105" spans="1:5" x14ac:dyDescent="0.25">
      <c r="A105" s="1">
        <v>260</v>
      </c>
      <c r="B105" s="1">
        <v>2825</v>
      </c>
    </row>
    <row r="109" spans="1:5" x14ac:dyDescent="0.25">
      <c r="A109" s="1" t="s">
        <v>0</v>
      </c>
      <c r="B109" s="9" t="s">
        <v>1</v>
      </c>
      <c r="D109" s="23" t="s">
        <v>3</v>
      </c>
      <c r="E109" s="1">
        <f>SONDAGEM!C4</f>
        <v>220</v>
      </c>
    </row>
    <row r="110" spans="1:5" x14ac:dyDescent="0.25">
      <c r="A110" s="1">
        <v>0</v>
      </c>
      <c r="B110" s="1">
        <v>763</v>
      </c>
      <c r="D110" s="23" t="s">
        <v>4</v>
      </c>
      <c r="E110" s="1">
        <f ca="1">FORECAST(E109,OFFSET(B110:B119,MATCH(E109,A110:A119,1)-1,0,2),OFFSET(A110:A119,MATCH(E109,A110:A119,1)-1,0,2))</f>
        <v>2605.4</v>
      </c>
    </row>
    <row r="111" spans="1:5" x14ac:dyDescent="0.25">
      <c r="A111" s="1">
        <v>25</v>
      </c>
      <c r="B111" s="1">
        <v>975</v>
      </c>
      <c r="D111" s="23" t="s">
        <v>10</v>
      </c>
      <c r="E111" s="1" t="s">
        <v>8</v>
      </c>
    </row>
    <row r="112" spans="1:5" x14ac:dyDescent="0.25">
      <c r="A112" s="1">
        <v>50</v>
      </c>
      <c r="B112" s="1">
        <v>1187</v>
      </c>
      <c r="D112" s="23" t="s">
        <v>2</v>
      </c>
      <c r="E112" s="7">
        <f>E100+200</f>
        <v>400</v>
      </c>
    </row>
    <row r="113" spans="1:5" x14ac:dyDescent="0.25">
      <c r="A113" s="1">
        <v>100</v>
      </c>
      <c r="B113" s="1">
        <v>1611</v>
      </c>
      <c r="D113" s="23" t="s">
        <v>9</v>
      </c>
      <c r="E113" s="1">
        <v>0.84</v>
      </c>
    </row>
    <row r="114" spans="1:5" x14ac:dyDescent="0.25">
      <c r="A114" s="1">
        <v>150</v>
      </c>
      <c r="B114" s="1">
        <v>2035.0000000000002</v>
      </c>
    </row>
    <row r="115" spans="1:5" x14ac:dyDescent="0.25">
      <c r="A115" s="1">
        <v>200</v>
      </c>
      <c r="B115" s="1">
        <v>2459</v>
      </c>
    </row>
    <row r="116" spans="1:5" x14ac:dyDescent="0.25">
      <c r="A116" s="1">
        <v>250</v>
      </c>
      <c r="B116" s="1">
        <v>2825</v>
      </c>
    </row>
    <row r="117" spans="1:5" x14ac:dyDescent="0.25">
      <c r="A117" s="1">
        <v>260</v>
      </c>
      <c r="B117" s="1">
        <v>2825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BD21-5BB0-409C-9348-B9B9982D7A8C}">
  <dimension ref="A1:E117"/>
  <sheetViews>
    <sheetView topLeftCell="A97" workbookViewId="0">
      <selection activeCell="B113" sqref="B113"/>
    </sheetView>
  </sheetViews>
  <sheetFormatPr defaultColWidth="18.85546875" defaultRowHeight="15" x14ac:dyDescent="0.25"/>
  <cols>
    <col min="1" max="2" width="18.85546875" style="2"/>
    <col min="3" max="3" width="18.85546875" style="17"/>
    <col min="4" max="4" width="34.42578125" style="2" customWidth="1"/>
    <col min="5" max="16384" width="18.85546875" style="2"/>
  </cols>
  <sheetData>
    <row r="1" spans="1:5" x14ac:dyDescent="0.25">
      <c r="A1" s="1" t="s">
        <v>0</v>
      </c>
      <c r="B1" s="1" t="s">
        <v>1</v>
      </c>
      <c r="D1" s="23" t="s">
        <v>3</v>
      </c>
      <c r="E1" s="1">
        <f>SONDAGEM!C5</f>
        <v>210</v>
      </c>
    </row>
    <row r="2" spans="1:5" x14ac:dyDescent="0.25">
      <c r="A2" s="1">
        <v>0</v>
      </c>
      <c r="B2" s="1">
        <v>1101</v>
      </c>
      <c r="D2" s="23" t="s">
        <v>4</v>
      </c>
      <c r="E2" s="1">
        <f ca="1">FORECAST(E1,OFFSET(B2:B11,MATCH(E1,A2:A11,1)-1,0,2),OFFSET(A2:A11,MATCH(E1,A2:A11,1)-1,0,2))</f>
        <v>22878.400000000001</v>
      </c>
    </row>
    <row r="3" spans="1:5" x14ac:dyDescent="0.25">
      <c r="A3" s="1">
        <v>25</v>
      </c>
      <c r="B3" s="1">
        <v>3708</v>
      </c>
      <c r="D3" s="23" t="s">
        <v>11</v>
      </c>
      <c r="E3" s="1" t="s">
        <v>12</v>
      </c>
    </row>
    <row r="4" spans="1:5" x14ac:dyDescent="0.25">
      <c r="A4" s="1">
        <v>50</v>
      </c>
      <c r="B4" s="1">
        <v>7233</v>
      </c>
      <c r="D4" s="23" t="s">
        <v>2</v>
      </c>
      <c r="E4" s="7">
        <v>-1400</v>
      </c>
    </row>
    <row r="5" spans="1:5" x14ac:dyDescent="0.25">
      <c r="A5" s="1">
        <v>100</v>
      </c>
      <c r="B5" s="1">
        <v>14953</v>
      </c>
      <c r="D5" s="23" t="s">
        <v>9</v>
      </c>
      <c r="E5" s="1">
        <v>0.84</v>
      </c>
    </row>
    <row r="6" spans="1:5" x14ac:dyDescent="0.25">
      <c r="A6" s="1">
        <v>150</v>
      </c>
      <c r="B6" s="1">
        <v>20689</v>
      </c>
    </row>
    <row r="7" spans="1:5" x14ac:dyDescent="0.25">
      <c r="A7" s="1">
        <v>200</v>
      </c>
      <c r="B7" s="1">
        <v>22532</v>
      </c>
    </row>
    <row r="8" spans="1:5" x14ac:dyDescent="0.25">
      <c r="A8" s="1">
        <v>250</v>
      </c>
      <c r="B8" s="1">
        <v>24264</v>
      </c>
    </row>
    <row r="9" spans="1:5" x14ac:dyDescent="0.25">
      <c r="A9" s="1">
        <v>260</v>
      </c>
      <c r="B9" s="1">
        <v>24286</v>
      </c>
    </row>
    <row r="13" spans="1:5" x14ac:dyDescent="0.25">
      <c r="A13" s="1" t="s">
        <v>0</v>
      </c>
      <c r="B13" s="1" t="s">
        <v>1</v>
      </c>
      <c r="D13" s="23" t="s">
        <v>3</v>
      </c>
      <c r="E13" s="1">
        <f>SONDAGEM!C5</f>
        <v>210</v>
      </c>
    </row>
    <row r="14" spans="1:5" x14ac:dyDescent="0.25">
      <c r="A14" s="1">
        <v>0</v>
      </c>
      <c r="B14" s="1">
        <v>893</v>
      </c>
      <c r="D14" s="23" t="s">
        <v>4</v>
      </c>
      <c r="E14" s="1">
        <f ca="1">FORECAST(E13,OFFSET(B14:B23,MATCH(E13,A14:A23,1)-1,0,2),OFFSET(A14:A23,MATCH(E13,A14:A23,1)-1,0,2))</f>
        <v>22908.2</v>
      </c>
    </row>
    <row r="15" spans="1:5" x14ac:dyDescent="0.25">
      <c r="A15" s="1">
        <v>25</v>
      </c>
      <c r="B15" s="1">
        <v>3450</v>
      </c>
      <c r="D15" s="23" t="s">
        <v>11</v>
      </c>
      <c r="E15" s="1" t="s">
        <v>12</v>
      </c>
    </row>
    <row r="16" spans="1:5" x14ac:dyDescent="0.25">
      <c r="A16" s="1">
        <v>50</v>
      </c>
      <c r="B16" s="1">
        <v>6974</v>
      </c>
      <c r="D16" s="23" t="s">
        <v>2</v>
      </c>
      <c r="E16" s="7">
        <f>E4+200</f>
        <v>-1200</v>
      </c>
    </row>
    <row r="17" spans="1:5" x14ac:dyDescent="0.25">
      <c r="A17" s="1">
        <v>100</v>
      </c>
      <c r="B17" s="1">
        <v>14712</v>
      </c>
      <c r="D17" s="23" t="s">
        <v>9</v>
      </c>
      <c r="E17" s="1">
        <v>0.84</v>
      </c>
    </row>
    <row r="18" spans="1:5" x14ac:dyDescent="0.25">
      <c r="A18" s="1">
        <v>150</v>
      </c>
      <c r="B18" s="1">
        <v>20723</v>
      </c>
    </row>
    <row r="19" spans="1:5" x14ac:dyDescent="0.25">
      <c r="A19" s="1">
        <v>200</v>
      </c>
      <c r="B19" s="1">
        <v>22565</v>
      </c>
    </row>
    <row r="20" spans="1:5" x14ac:dyDescent="0.25">
      <c r="A20" s="1">
        <v>250</v>
      </c>
      <c r="B20" s="1">
        <v>24281</v>
      </c>
    </row>
    <row r="21" spans="1:5" x14ac:dyDescent="0.25">
      <c r="A21" s="1">
        <v>260</v>
      </c>
      <c r="B21" s="1">
        <v>24286</v>
      </c>
    </row>
    <row r="25" spans="1:5" x14ac:dyDescent="0.25">
      <c r="A25" s="1" t="s">
        <v>0</v>
      </c>
      <c r="B25" s="1" t="s">
        <v>1</v>
      </c>
      <c r="D25" s="23" t="s">
        <v>3</v>
      </c>
      <c r="E25" s="1">
        <f>SONDAGEM!C5</f>
        <v>210</v>
      </c>
    </row>
    <row r="26" spans="1:5" x14ac:dyDescent="0.25">
      <c r="A26" s="1">
        <v>0</v>
      </c>
      <c r="B26" s="1">
        <v>708</v>
      </c>
      <c r="D26" s="23" t="s">
        <v>4</v>
      </c>
      <c r="E26" s="1">
        <f ca="1">FORECAST(E25,OFFSET(B26:B35,MATCH(E25,A26:A35,1)-1,0,2),OFFSET(A26:A35,MATCH(E25,A26:A35,1)-1,0,2))</f>
        <v>22935.599999999999</v>
      </c>
    </row>
    <row r="27" spans="1:5" x14ac:dyDescent="0.25">
      <c r="A27" s="1">
        <v>25</v>
      </c>
      <c r="B27" s="1">
        <v>3195</v>
      </c>
      <c r="D27" s="23" t="s">
        <v>11</v>
      </c>
      <c r="E27" s="1" t="s">
        <v>12</v>
      </c>
    </row>
    <row r="28" spans="1:5" x14ac:dyDescent="0.25">
      <c r="A28" s="1">
        <v>50</v>
      </c>
      <c r="B28" s="1">
        <v>6727</v>
      </c>
      <c r="D28" s="23" t="s">
        <v>2</v>
      </c>
      <c r="E28" s="7">
        <f>E16+200</f>
        <v>-1000</v>
      </c>
    </row>
    <row r="29" spans="1:5" x14ac:dyDescent="0.25">
      <c r="A29" s="1">
        <v>100</v>
      </c>
      <c r="B29" s="1">
        <v>14471</v>
      </c>
      <c r="D29" s="23" t="s">
        <v>9</v>
      </c>
      <c r="E29" s="1">
        <v>0.84</v>
      </c>
    </row>
    <row r="30" spans="1:5" x14ac:dyDescent="0.25">
      <c r="A30" s="1">
        <v>150</v>
      </c>
      <c r="B30" s="1">
        <v>20756</v>
      </c>
    </row>
    <row r="31" spans="1:5" x14ac:dyDescent="0.25">
      <c r="A31" s="1">
        <v>200</v>
      </c>
      <c r="B31" s="1">
        <v>22598</v>
      </c>
    </row>
    <row r="32" spans="1:5" x14ac:dyDescent="0.25">
      <c r="A32" s="1">
        <v>250</v>
      </c>
      <c r="B32" s="1">
        <v>24286</v>
      </c>
    </row>
    <row r="33" spans="1:5" x14ac:dyDescent="0.25">
      <c r="A33" s="1">
        <v>260</v>
      </c>
      <c r="B33" s="1">
        <v>24286</v>
      </c>
    </row>
    <row r="37" spans="1:5" x14ac:dyDescent="0.25">
      <c r="A37" s="1" t="s">
        <v>0</v>
      </c>
      <c r="B37" s="1" t="s">
        <v>1</v>
      </c>
      <c r="D37" s="23" t="s">
        <v>3</v>
      </c>
      <c r="E37" s="1">
        <f>SONDAGEM!C5</f>
        <v>210</v>
      </c>
    </row>
    <row r="38" spans="1:5" x14ac:dyDescent="0.25">
      <c r="A38" s="1">
        <v>0</v>
      </c>
      <c r="B38" s="1">
        <v>546</v>
      </c>
      <c r="D38" s="23" t="s">
        <v>4</v>
      </c>
      <c r="E38" s="1">
        <f ca="1">FORECAST(E37,OFFSET(B38:B47,MATCH(E37,A38:A47,1)-1,0,2),OFFSET(A38:A47,MATCH(E37,A38:A47,1)-1,0,2))</f>
        <v>22962</v>
      </c>
    </row>
    <row r="39" spans="1:5" x14ac:dyDescent="0.25">
      <c r="A39" s="1">
        <v>25</v>
      </c>
      <c r="B39" s="1">
        <v>2941</v>
      </c>
      <c r="D39" s="23" t="s">
        <v>11</v>
      </c>
      <c r="E39" s="1" t="s">
        <v>12</v>
      </c>
    </row>
    <row r="40" spans="1:5" x14ac:dyDescent="0.25">
      <c r="A40" s="1">
        <v>50</v>
      </c>
      <c r="B40" s="1">
        <v>6479</v>
      </c>
      <c r="D40" s="23" t="s">
        <v>2</v>
      </c>
      <c r="E40" s="7">
        <f>E28+200</f>
        <v>-800</v>
      </c>
    </row>
    <row r="41" spans="1:5" x14ac:dyDescent="0.25">
      <c r="A41" s="1">
        <v>100</v>
      </c>
      <c r="B41" s="1">
        <v>14230</v>
      </c>
      <c r="D41" s="23" t="s">
        <v>9</v>
      </c>
      <c r="E41" s="1">
        <v>0.84</v>
      </c>
    </row>
    <row r="42" spans="1:5" x14ac:dyDescent="0.25">
      <c r="A42" s="1">
        <v>150</v>
      </c>
      <c r="B42" s="1">
        <v>20784</v>
      </c>
    </row>
    <row r="43" spans="1:5" x14ac:dyDescent="0.25">
      <c r="A43" s="1">
        <v>200</v>
      </c>
      <c r="B43" s="1">
        <v>22631</v>
      </c>
    </row>
    <row r="44" spans="1:5" x14ac:dyDescent="0.25">
      <c r="A44" s="1">
        <v>250</v>
      </c>
      <c r="B44" s="1">
        <v>24286</v>
      </c>
    </row>
    <row r="45" spans="1:5" x14ac:dyDescent="0.25">
      <c r="A45" s="1">
        <v>260</v>
      </c>
      <c r="B45" s="1">
        <v>24286</v>
      </c>
    </row>
    <row r="49" spans="1:5" x14ac:dyDescent="0.25">
      <c r="A49" s="1" t="s">
        <v>0</v>
      </c>
      <c r="B49" s="1" t="s">
        <v>1</v>
      </c>
      <c r="D49" s="23" t="s">
        <v>3</v>
      </c>
      <c r="E49" s="1">
        <f>SONDAGEM!C5</f>
        <v>210</v>
      </c>
    </row>
    <row r="50" spans="1:5" x14ac:dyDescent="0.25">
      <c r="A50" s="1">
        <v>0</v>
      </c>
      <c r="B50" s="1">
        <v>407</v>
      </c>
      <c r="D50" s="23" t="s">
        <v>4</v>
      </c>
      <c r="E50" s="1">
        <f ca="1">FORECAST(E49,OFFSET(B50:B59,MATCH(E49,A50:A59,1)-1,0,2),OFFSET(A50:A59,MATCH(E49,A50:A59,1)-1,0,2))</f>
        <v>22988.400000000001</v>
      </c>
    </row>
    <row r="51" spans="1:5" x14ac:dyDescent="0.25">
      <c r="A51" s="1">
        <v>25</v>
      </c>
      <c r="B51" s="1">
        <v>2690</v>
      </c>
      <c r="D51" s="23" t="s">
        <v>11</v>
      </c>
      <c r="E51" s="1" t="s">
        <v>12</v>
      </c>
    </row>
    <row r="52" spans="1:5" x14ac:dyDescent="0.25">
      <c r="A52" s="1">
        <v>50</v>
      </c>
      <c r="B52" s="1">
        <v>6233</v>
      </c>
      <c r="D52" s="23" t="s">
        <v>2</v>
      </c>
      <c r="E52" s="7">
        <f>E40+200</f>
        <v>-600</v>
      </c>
    </row>
    <row r="53" spans="1:5" x14ac:dyDescent="0.25">
      <c r="A53" s="1">
        <v>100</v>
      </c>
      <c r="B53" s="1">
        <v>13989</v>
      </c>
      <c r="D53" s="23" t="s">
        <v>9</v>
      </c>
      <c r="E53" s="1">
        <v>0.84</v>
      </c>
    </row>
    <row r="54" spans="1:5" x14ac:dyDescent="0.25">
      <c r="A54" s="1">
        <v>150</v>
      </c>
      <c r="B54" s="1">
        <v>20814</v>
      </c>
    </row>
    <row r="55" spans="1:5" x14ac:dyDescent="0.25">
      <c r="A55" s="1">
        <v>200</v>
      </c>
      <c r="B55" s="1">
        <v>22664</v>
      </c>
    </row>
    <row r="56" spans="1:5" x14ac:dyDescent="0.25">
      <c r="A56" s="1">
        <v>250</v>
      </c>
      <c r="B56" s="1">
        <v>24286</v>
      </c>
    </row>
    <row r="57" spans="1:5" x14ac:dyDescent="0.25">
      <c r="A57" s="1">
        <v>260</v>
      </c>
      <c r="B57" s="1">
        <v>24286</v>
      </c>
    </row>
    <row r="61" spans="1:5" x14ac:dyDescent="0.25">
      <c r="A61" s="1" t="s">
        <v>0</v>
      </c>
      <c r="B61" s="1" t="s">
        <v>1</v>
      </c>
      <c r="D61" s="23" t="s">
        <v>3</v>
      </c>
      <c r="E61" s="1">
        <f>SONDAGEM!C5</f>
        <v>210</v>
      </c>
    </row>
    <row r="62" spans="1:5" x14ac:dyDescent="0.25">
      <c r="A62" s="1">
        <v>0</v>
      </c>
      <c r="B62" s="1">
        <v>290</v>
      </c>
      <c r="D62" s="23" t="s">
        <v>4</v>
      </c>
      <c r="E62" s="1">
        <f ca="1">FORECAST(E61,OFFSET(B62:B71,MATCH(E61,A62:A71,1)-1,0,2),OFFSET(A62:A71,MATCH(E61,A62:A71,1)-1,0,2))</f>
        <v>23014.799999999999</v>
      </c>
    </row>
    <row r="63" spans="1:5" x14ac:dyDescent="0.25">
      <c r="A63" s="1">
        <v>25</v>
      </c>
      <c r="B63" s="1">
        <v>2440</v>
      </c>
      <c r="D63" s="23" t="s">
        <v>11</v>
      </c>
      <c r="E63" s="1" t="s">
        <v>12</v>
      </c>
    </row>
    <row r="64" spans="1:5" x14ac:dyDescent="0.25">
      <c r="A64" s="1">
        <v>50</v>
      </c>
      <c r="B64" s="1">
        <v>5986</v>
      </c>
      <c r="D64" s="23" t="s">
        <v>2</v>
      </c>
      <c r="E64" s="7">
        <f>E52+200</f>
        <v>-400</v>
      </c>
    </row>
    <row r="65" spans="1:5" x14ac:dyDescent="0.25">
      <c r="A65" s="1">
        <v>100</v>
      </c>
      <c r="B65" s="1">
        <v>13748</v>
      </c>
      <c r="D65" s="23" t="s">
        <v>9</v>
      </c>
      <c r="E65" s="1">
        <v>0.84</v>
      </c>
    </row>
    <row r="66" spans="1:5" x14ac:dyDescent="0.25">
      <c r="A66" s="1">
        <v>150</v>
      </c>
      <c r="B66" s="1">
        <v>20847</v>
      </c>
    </row>
    <row r="67" spans="1:5" x14ac:dyDescent="0.25">
      <c r="A67" s="1">
        <v>200</v>
      </c>
      <c r="B67" s="1">
        <v>22697</v>
      </c>
    </row>
    <row r="68" spans="1:5" x14ac:dyDescent="0.25">
      <c r="A68" s="1">
        <v>250</v>
      </c>
      <c r="B68" s="1">
        <v>24286</v>
      </c>
    </row>
    <row r="69" spans="1:5" x14ac:dyDescent="0.25">
      <c r="A69" s="1">
        <v>260</v>
      </c>
      <c r="B69" s="1">
        <v>24286</v>
      </c>
    </row>
    <row r="73" spans="1:5" x14ac:dyDescent="0.25">
      <c r="A73" s="1" t="s">
        <v>0</v>
      </c>
      <c r="B73" s="1" t="s">
        <v>1</v>
      </c>
      <c r="D73" s="23" t="s">
        <v>3</v>
      </c>
      <c r="E73" s="1">
        <f>SONDAGEM!C5</f>
        <v>210</v>
      </c>
    </row>
    <row r="74" spans="1:5" x14ac:dyDescent="0.25">
      <c r="A74" s="1">
        <v>0</v>
      </c>
      <c r="B74" s="1">
        <v>199</v>
      </c>
      <c r="D74" s="23" t="s">
        <v>4</v>
      </c>
      <c r="E74" s="1">
        <f ca="1">FORECAST(E73,OFFSET(B74:B83,MATCH(E73,A74:A83,1)-1,0,2),OFFSET(A74:A83,MATCH(E73,A74:A83,1)-1,0,2))</f>
        <v>23041.200000000001</v>
      </c>
    </row>
    <row r="75" spans="1:5" x14ac:dyDescent="0.25">
      <c r="A75" s="1">
        <v>25</v>
      </c>
      <c r="B75" s="1">
        <v>2197</v>
      </c>
      <c r="D75" s="23" t="s">
        <v>11</v>
      </c>
      <c r="E75" s="1" t="s">
        <v>12</v>
      </c>
    </row>
    <row r="76" spans="1:5" x14ac:dyDescent="0.25">
      <c r="A76" s="1">
        <v>50</v>
      </c>
      <c r="B76" s="1">
        <v>5740</v>
      </c>
      <c r="D76" s="23" t="s">
        <v>2</v>
      </c>
      <c r="E76" s="7">
        <f>E64+200</f>
        <v>-200</v>
      </c>
    </row>
    <row r="77" spans="1:5" x14ac:dyDescent="0.25">
      <c r="A77" s="1">
        <v>100</v>
      </c>
      <c r="B77" s="1">
        <v>13507</v>
      </c>
      <c r="D77" s="23" t="s">
        <v>9</v>
      </c>
      <c r="E77" s="1">
        <v>0.84</v>
      </c>
    </row>
    <row r="78" spans="1:5" x14ac:dyDescent="0.25">
      <c r="A78" s="1">
        <v>150</v>
      </c>
      <c r="B78" s="1">
        <v>20860</v>
      </c>
    </row>
    <row r="79" spans="1:5" x14ac:dyDescent="0.25">
      <c r="A79" s="1">
        <v>200</v>
      </c>
      <c r="B79" s="1">
        <v>22730</v>
      </c>
    </row>
    <row r="80" spans="1:5" x14ac:dyDescent="0.25">
      <c r="A80" s="1">
        <v>250</v>
      </c>
      <c r="B80" s="1">
        <v>24286</v>
      </c>
    </row>
    <row r="81" spans="1:5" x14ac:dyDescent="0.25">
      <c r="A81" s="1">
        <v>260</v>
      </c>
      <c r="B81" s="1">
        <v>24286</v>
      </c>
    </row>
    <row r="85" spans="1:5" x14ac:dyDescent="0.25">
      <c r="A85" s="1" t="s">
        <v>0</v>
      </c>
      <c r="B85" s="1" t="s">
        <v>1</v>
      </c>
      <c r="D85" s="23" t="s">
        <v>3</v>
      </c>
      <c r="E85" s="1">
        <f>SONDAGEM!C5</f>
        <v>210</v>
      </c>
    </row>
    <row r="86" spans="1:5" x14ac:dyDescent="0.25">
      <c r="A86" s="1">
        <v>0</v>
      </c>
      <c r="B86" s="1">
        <v>131</v>
      </c>
      <c r="D86" s="23" t="s">
        <v>4</v>
      </c>
      <c r="E86" s="1">
        <f ca="1">FORECAST(E85,OFFSET(B86:B95,MATCH(E85,A86:A95,1)-1,0,2),OFFSET(A86:A95,MATCH(E85,A86:A95,1)-1,0,2))</f>
        <v>23067.599999999999</v>
      </c>
    </row>
    <row r="87" spans="1:5" x14ac:dyDescent="0.25">
      <c r="A87" s="1">
        <v>25</v>
      </c>
      <c r="B87" s="1">
        <v>1966</v>
      </c>
      <c r="D87" s="23" t="s">
        <v>11</v>
      </c>
      <c r="E87" s="1" t="s">
        <v>12</v>
      </c>
    </row>
    <row r="88" spans="1:5" x14ac:dyDescent="0.25">
      <c r="A88" s="1">
        <v>50</v>
      </c>
      <c r="B88" s="1">
        <v>5495</v>
      </c>
      <c r="D88" s="23" t="s">
        <v>2</v>
      </c>
      <c r="E88" s="7">
        <f>E76+200</f>
        <v>0</v>
      </c>
    </row>
    <row r="89" spans="1:5" x14ac:dyDescent="0.25">
      <c r="A89" s="1">
        <v>100</v>
      </c>
      <c r="B89" s="1">
        <v>13266</v>
      </c>
      <c r="D89" s="23" t="s">
        <v>9</v>
      </c>
      <c r="E89" s="1">
        <v>0.84</v>
      </c>
    </row>
    <row r="90" spans="1:5" x14ac:dyDescent="0.25">
      <c r="A90" s="1">
        <v>150</v>
      </c>
      <c r="B90" s="1">
        <v>20765</v>
      </c>
    </row>
    <row r="91" spans="1:5" x14ac:dyDescent="0.25">
      <c r="A91" s="1">
        <v>200</v>
      </c>
      <c r="B91" s="1">
        <v>22763</v>
      </c>
    </row>
    <row r="92" spans="1:5" x14ac:dyDescent="0.25">
      <c r="A92" s="1">
        <v>250</v>
      </c>
      <c r="B92" s="1">
        <v>24286</v>
      </c>
    </row>
    <row r="93" spans="1:5" x14ac:dyDescent="0.25">
      <c r="A93" s="1">
        <v>260</v>
      </c>
      <c r="B93" s="1">
        <v>24286</v>
      </c>
    </row>
    <row r="97" spans="1:5" x14ac:dyDescent="0.25">
      <c r="A97" s="1" t="s">
        <v>0</v>
      </c>
      <c r="B97" s="1" t="s">
        <v>1</v>
      </c>
      <c r="D97" s="23" t="s">
        <v>3</v>
      </c>
      <c r="E97" s="1">
        <f>SONDAGEM!C5</f>
        <v>210</v>
      </c>
    </row>
    <row r="98" spans="1:5" x14ac:dyDescent="0.25">
      <c r="A98" s="1">
        <v>0</v>
      </c>
      <c r="B98" s="1">
        <v>86</v>
      </c>
      <c r="D98" s="23" t="s">
        <v>4</v>
      </c>
      <c r="E98" s="1">
        <f ca="1">FORECAST(E97,OFFSET(B98:B107,MATCH(E97,A98:A107,1)-1,0,2),OFFSET(A98:A107,MATCH(E97,A98:A107,1)-1,0,2))</f>
        <v>23094</v>
      </c>
    </row>
    <row r="99" spans="1:5" x14ac:dyDescent="0.25">
      <c r="A99" s="1">
        <v>25</v>
      </c>
      <c r="B99" s="1">
        <v>1756</v>
      </c>
      <c r="D99" s="23" t="s">
        <v>11</v>
      </c>
      <c r="E99" s="1" t="s">
        <v>12</v>
      </c>
    </row>
    <row r="100" spans="1:5" x14ac:dyDescent="0.25">
      <c r="A100" s="1">
        <v>50</v>
      </c>
      <c r="B100" s="1">
        <v>5250</v>
      </c>
      <c r="D100" s="23" t="s">
        <v>2</v>
      </c>
      <c r="E100" s="7">
        <f>E88+200</f>
        <v>200</v>
      </c>
    </row>
    <row r="101" spans="1:5" x14ac:dyDescent="0.25">
      <c r="A101" s="1">
        <v>100</v>
      </c>
      <c r="B101" s="1">
        <v>13025</v>
      </c>
      <c r="D101" s="23" t="s">
        <v>9</v>
      </c>
      <c r="E101" s="1">
        <v>0.84</v>
      </c>
    </row>
    <row r="102" spans="1:5" x14ac:dyDescent="0.25">
      <c r="A102" s="1">
        <v>150</v>
      </c>
      <c r="B102" s="1">
        <v>20524</v>
      </c>
    </row>
    <row r="103" spans="1:5" x14ac:dyDescent="0.25">
      <c r="A103" s="1">
        <v>200</v>
      </c>
      <c r="B103" s="1">
        <v>22796</v>
      </c>
    </row>
    <row r="104" spans="1:5" x14ac:dyDescent="0.25">
      <c r="A104" s="1">
        <v>250</v>
      </c>
      <c r="B104" s="1">
        <v>24286</v>
      </c>
    </row>
    <row r="105" spans="1:5" x14ac:dyDescent="0.25">
      <c r="A105" s="1">
        <v>260</v>
      </c>
      <c r="B105" s="1">
        <v>24286</v>
      </c>
    </row>
    <row r="109" spans="1:5" x14ac:dyDescent="0.25">
      <c r="A109" s="1" t="s">
        <v>0</v>
      </c>
      <c r="B109" s="1" t="s">
        <v>1</v>
      </c>
      <c r="D109" s="23" t="s">
        <v>3</v>
      </c>
      <c r="E109" s="1">
        <f>SONDAGEM!C5</f>
        <v>210</v>
      </c>
    </row>
    <row r="110" spans="1:5" x14ac:dyDescent="0.25">
      <c r="A110" s="1">
        <v>0</v>
      </c>
      <c r="B110" s="1">
        <v>63</v>
      </c>
      <c r="D110" s="23" t="s">
        <v>4</v>
      </c>
      <c r="E110" s="1">
        <f ca="1">FORECAST(E109,OFFSET(B110:B119,MATCH(E109,A110:A119,1)-1,0,2),OFFSET(A110:A119,MATCH(E109,A110:A119,1)-1,0,2))</f>
        <v>23120.400000000001</v>
      </c>
    </row>
    <row r="111" spans="1:5" x14ac:dyDescent="0.25">
      <c r="A111" s="1">
        <v>25</v>
      </c>
      <c r="B111" s="1">
        <v>1567</v>
      </c>
      <c r="D111" s="23" t="s">
        <v>11</v>
      </c>
      <c r="E111" s="1" t="s">
        <v>12</v>
      </c>
    </row>
    <row r="112" spans="1:5" x14ac:dyDescent="0.25">
      <c r="A112" s="1">
        <v>50</v>
      </c>
      <c r="B112" s="1">
        <v>5005</v>
      </c>
      <c r="D112" s="23" t="s">
        <v>2</v>
      </c>
      <c r="E112" s="7">
        <f>E100+200</f>
        <v>400</v>
      </c>
    </row>
    <row r="113" spans="1:5" x14ac:dyDescent="0.25">
      <c r="A113" s="1">
        <v>100</v>
      </c>
      <c r="B113" s="1">
        <v>12784</v>
      </c>
      <c r="D113" s="23" t="s">
        <v>9</v>
      </c>
      <c r="E113" s="1">
        <v>0.84</v>
      </c>
    </row>
    <row r="114" spans="1:5" x14ac:dyDescent="0.25">
      <c r="A114" s="1">
        <v>150</v>
      </c>
      <c r="B114" s="1">
        <v>20283</v>
      </c>
    </row>
    <row r="115" spans="1:5" x14ac:dyDescent="0.25">
      <c r="A115" s="1">
        <v>200</v>
      </c>
      <c r="B115" s="1">
        <v>22829</v>
      </c>
    </row>
    <row r="116" spans="1:5" x14ac:dyDescent="0.25">
      <c r="A116" s="1">
        <v>250</v>
      </c>
      <c r="B116" s="1">
        <v>24286</v>
      </c>
    </row>
    <row r="117" spans="1:5" x14ac:dyDescent="0.25">
      <c r="A117" s="1">
        <v>260</v>
      </c>
      <c r="B117" s="1">
        <v>24286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35AF-A083-44A9-AE9D-70562EC8B76B}">
  <dimension ref="A1:E117"/>
  <sheetViews>
    <sheetView topLeftCell="A85" workbookViewId="0">
      <selection activeCell="E110" sqref="E110"/>
    </sheetView>
  </sheetViews>
  <sheetFormatPr defaultColWidth="16.5703125" defaultRowHeight="15" x14ac:dyDescent="0.25"/>
  <cols>
    <col min="1" max="2" width="16.5703125" style="2"/>
    <col min="3" max="3" width="16.5703125" style="17"/>
    <col min="4" max="4" width="27.28515625" style="2" customWidth="1"/>
    <col min="5" max="16384" width="16.5703125" style="2"/>
  </cols>
  <sheetData>
    <row r="1" spans="1:5" x14ac:dyDescent="0.25">
      <c r="A1" s="1" t="s">
        <v>0</v>
      </c>
      <c r="B1" s="1" t="s">
        <v>1</v>
      </c>
      <c r="D1" s="23" t="s">
        <v>3</v>
      </c>
      <c r="E1" s="1">
        <f>SONDAGEM!C6</f>
        <v>210</v>
      </c>
    </row>
    <row r="2" spans="1:5" x14ac:dyDescent="0.25">
      <c r="A2" s="1">
        <v>0</v>
      </c>
      <c r="B2" s="1">
        <v>1133</v>
      </c>
      <c r="D2" s="23" t="s">
        <v>4</v>
      </c>
      <c r="E2" s="1">
        <f ca="1">FORECAST(E1,OFFSET(B2:B11,MATCH(E1,A2:A11,1)-1,0,2),OFFSET(A2:A11,MATCH(E1,A2:A11,1)-1,0,2))</f>
        <v>22892.400000000001</v>
      </c>
    </row>
    <row r="3" spans="1:5" x14ac:dyDescent="0.25">
      <c r="A3" s="1">
        <v>25</v>
      </c>
      <c r="B3" s="1">
        <v>3764</v>
      </c>
      <c r="D3" s="23" t="s">
        <v>13</v>
      </c>
      <c r="E3" s="1" t="s">
        <v>14</v>
      </c>
    </row>
    <row r="4" spans="1:5" x14ac:dyDescent="0.25">
      <c r="A4" s="1">
        <v>50</v>
      </c>
      <c r="B4" s="1">
        <v>7289</v>
      </c>
      <c r="D4" s="23" t="s">
        <v>2</v>
      </c>
      <c r="E4" s="7">
        <v>-1400</v>
      </c>
    </row>
    <row r="5" spans="1:5" x14ac:dyDescent="0.25">
      <c r="A5" s="1">
        <v>100</v>
      </c>
      <c r="B5" s="1">
        <v>15019</v>
      </c>
      <c r="D5" s="23" t="s">
        <v>9</v>
      </c>
      <c r="E5" s="1">
        <v>0.84</v>
      </c>
    </row>
    <row r="6" spans="1:5" x14ac:dyDescent="0.25">
      <c r="A6" s="1">
        <v>150</v>
      </c>
      <c r="B6" s="1">
        <v>20707</v>
      </c>
    </row>
    <row r="7" spans="1:5" x14ac:dyDescent="0.25">
      <c r="A7" s="1">
        <v>200</v>
      </c>
      <c r="B7" s="1">
        <v>22548</v>
      </c>
    </row>
    <row r="8" spans="1:5" x14ac:dyDescent="0.25">
      <c r="A8" s="1">
        <v>250</v>
      </c>
      <c r="B8" s="1">
        <v>24270</v>
      </c>
    </row>
    <row r="9" spans="1:5" x14ac:dyDescent="0.25">
      <c r="A9" s="1">
        <v>260</v>
      </c>
      <c r="B9" s="1">
        <v>24286</v>
      </c>
    </row>
    <row r="13" spans="1:5" x14ac:dyDescent="0.25">
      <c r="A13" s="1" t="s">
        <v>0</v>
      </c>
      <c r="B13" s="1" t="s">
        <v>1</v>
      </c>
      <c r="D13" s="23" t="s">
        <v>3</v>
      </c>
      <c r="E13" s="1">
        <f>SONDAGEM!C6</f>
        <v>210</v>
      </c>
    </row>
    <row r="14" spans="1:5" x14ac:dyDescent="0.25">
      <c r="A14" s="1">
        <v>0</v>
      </c>
      <c r="B14" s="1">
        <v>925</v>
      </c>
      <c r="D14" s="23" t="s">
        <v>4</v>
      </c>
      <c r="E14" s="1">
        <f ca="1">FORECAST(E13,OFFSET(B14:B23,MATCH(E13,A14:A23,1)-1,0,2),OFFSET(A14:A23,MATCH(E13,A14:A23,1)-1,0,2))</f>
        <v>22921.599999999999</v>
      </c>
    </row>
    <row r="15" spans="1:5" x14ac:dyDescent="0.25">
      <c r="A15" s="1">
        <v>25</v>
      </c>
      <c r="B15" s="1">
        <v>3508</v>
      </c>
      <c r="D15" s="23" t="s">
        <v>13</v>
      </c>
      <c r="E15" s="1" t="s">
        <v>14</v>
      </c>
    </row>
    <row r="16" spans="1:5" x14ac:dyDescent="0.25">
      <c r="A16" s="1">
        <v>50</v>
      </c>
      <c r="B16" s="1">
        <v>7042</v>
      </c>
      <c r="D16" s="23" t="s">
        <v>2</v>
      </c>
      <c r="E16" s="7">
        <f>E4+200</f>
        <v>-1200</v>
      </c>
    </row>
    <row r="17" spans="1:5" x14ac:dyDescent="0.25">
      <c r="A17" s="1">
        <v>100</v>
      </c>
      <c r="B17" s="1">
        <v>14780</v>
      </c>
      <c r="D17" s="23" t="s">
        <v>9</v>
      </c>
      <c r="E17" s="1">
        <v>0.84</v>
      </c>
    </row>
    <row r="18" spans="1:5" x14ac:dyDescent="0.25">
      <c r="A18" s="1">
        <v>150</v>
      </c>
      <c r="B18" s="1">
        <v>20741</v>
      </c>
    </row>
    <row r="19" spans="1:5" x14ac:dyDescent="0.25">
      <c r="A19" s="1">
        <v>200</v>
      </c>
      <c r="B19" s="1">
        <v>22581</v>
      </c>
    </row>
    <row r="20" spans="1:5" x14ac:dyDescent="0.25">
      <c r="A20" s="1">
        <v>250</v>
      </c>
      <c r="B20" s="1">
        <v>24284</v>
      </c>
    </row>
    <row r="21" spans="1:5" x14ac:dyDescent="0.25">
      <c r="A21" s="1">
        <v>260</v>
      </c>
      <c r="B21" s="1">
        <v>24286</v>
      </c>
    </row>
    <row r="25" spans="1:5" x14ac:dyDescent="0.25">
      <c r="A25" s="1" t="s">
        <v>0</v>
      </c>
      <c r="B25" s="1" t="s">
        <v>1</v>
      </c>
      <c r="D25" s="23" t="s">
        <v>3</v>
      </c>
      <c r="E25" s="1">
        <f>SONDAGEM!C6</f>
        <v>210</v>
      </c>
    </row>
    <row r="26" spans="1:5" x14ac:dyDescent="0.25">
      <c r="A26" s="1">
        <v>0</v>
      </c>
      <c r="B26" s="1">
        <v>738</v>
      </c>
      <c r="D26" s="23" t="s">
        <v>4</v>
      </c>
      <c r="E26" s="1">
        <f ca="1">FORECAST(E25,OFFSET(B26:B35,MATCH(E25,A26:A35,1)-1,0,2),OFFSET(A26:A35,MATCH(E25,A26:A35,1)-1,0,2))</f>
        <v>22949.200000000001</v>
      </c>
    </row>
    <row r="27" spans="1:5" x14ac:dyDescent="0.25">
      <c r="A27" s="1">
        <v>25</v>
      </c>
      <c r="B27" s="1">
        <v>3354</v>
      </c>
      <c r="D27" s="23" t="s">
        <v>13</v>
      </c>
      <c r="E27" s="1" t="s">
        <v>14</v>
      </c>
    </row>
    <row r="28" spans="1:5" x14ac:dyDescent="0.25">
      <c r="A28" s="1">
        <v>50</v>
      </c>
      <c r="B28" s="1">
        <v>6796</v>
      </c>
      <c r="D28" s="23" t="s">
        <v>2</v>
      </c>
      <c r="E28" s="7">
        <f>E16+200</f>
        <v>-1000</v>
      </c>
    </row>
    <row r="29" spans="1:5" x14ac:dyDescent="0.25">
      <c r="A29" s="1">
        <v>100</v>
      </c>
      <c r="B29" s="1">
        <v>14540</v>
      </c>
      <c r="D29" s="23" t="s">
        <v>9</v>
      </c>
      <c r="E29" s="1">
        <v>0.84</v>
      </c>
    </row>
    <row r="30" spans="1:5" x14ac:dyDescent="0.25">
      <c r="A30" s="1">
        <v>150</v>
      </c>
      <c r="B30" s="1">
        <v>20773</v>
      </c>
    </row>
    <row r="31" spans="1:5" x14ac:dyDescent="0.25">
      <c r="A31" s="1">
        <v>200</v>
      </c>
      <c r="B31" s="1">
        <v>22615</v>
      </c>
    </row>
    <row r="32" spans="1:5" x14ac:dyDescent="0.25">
      <c r="A32" s="1">
        <v>250</v>
      </c>
      <c r="B32" s="1">
        <v>24286</v>
      </c>
    </row>
    <row r="33" spans="1:5" x14ac:dyDescent="0.25">
      <c r="A33" s="1">
        <v>260</v>
      </c>
      <c r="B33" s="1">
        <v>24286</v>
      </c>
    </row>
    <row r="37" spans="1:5" x14ac:dyDescent="0.25">
      <c r="A37" s="1" t="s">
        <v>0</v>
      </c>
      <c r="B37" s="1" t="s">
        <v>1</v>
      </c>
      <c r="D37" s="23" t="s">
        <v>3</v>
      </c>
      <c r="E37" s="1">
        <f>SONDAGEM!C6</f>
        <v>210</v>
      </c>
    </row>
    <row r="38" spans="1:5" x14ac:dyDescent="0.25">
      <c r="A38" s="1">
        <v>0</v>
      </c>
      <c r="B38" s="1">
        <v>573</v>
      </c>
      <c r="D38" s="23" t="s">
        <v>4</v>
      </c>
      <c r="E38" s="1">
        <f ca="1">FORECAST(E37,OFFSET(B38:B47,MATCH(E37,A38:A47,1)-1,0,2),OFFSET(A38:A47,MATCH(E37,A38:A47,1)-1,0,2))</f>
        <v>22975.599999999999</v>
      </c>
    </row>
    <row r="39" spans="1:5" x14ac:dyDescent="0.25">
      <c r="A39" s="1">
        <v>25</v>
      </c>
      <c r="B39" s="1">
        <v>3001</v>
      </c>
      <c r="D39" s="23" t="s">
        <v>13</v>
      </c>
      <c r="E39" s="1" t="s">
        <v>14</v>
      </c>
    </row>
    <row r="40" spans="1:5" x14ac:dyDescent="0.25">
      <c r="A40" s="1">
        <v>50</v>
      </c>
      <c r="B40" s="1">
        <v>6550</v>
      </c>
      <c r="D40" s="23" t="s">
        <v>2</v>
      </c>
      <c r="E40" s="7">
        <f>E28+200</f>
        <v>-800</v>
      </c>
    </row>
    <row r="41" spans="1:5" x14ac:dyDescent="0.25">
      <c r="A41" s="1">
        <v>100</v>
      </c>
      <c r="B41" s="1">
        <v>14300</v>
      </c>
      <c r="D41" s="23" t="s">
        <v>9</v>
      </c>
      <c r="E41" s="1">
        <v>0.84</v>
      </c>
    </row>
    <row r="42" spans="1:5" x14ac:dyDescent="0.25">
      <c r="A42" s="1">
        <v>150</v>
      </c>
      <c r="B42" s="1">
        <v>20804</v>
      </c>
    </row>
    <row r="43" spans="1:5" x14ac:dyDescent="0.25">
      <c r="A43" s="1">
        <v>200</v>
      </c>
      <c r="B43" s="1">
        <v>22648</v>
      </c>
    </row>
    <row r="44" spans="1:5" x14ac:dyDescent="0.25">
      <c r="A44" s="1">
        <v>250</v>
      </c>
      <c r="B44" s="1">
        <v>24286</v>
      </c>
    </row>
    <row r="45" spans="1:5" x14ac:dyDescent="0.25">
      <c r="A45" s="1">
        <v>260</v>
      </c>
      <c r="B45" s="1">
        <v>24286</v>
      </c>
    </row>
    <row r="49" spans="1:5" x14ac:dyDescent="0.25">
      <c r="A49" s="1" t="s">
        <v>0</v>
      </c>
      <c r="B49" s="1" t="s">
        <v>1</v>
      </c>
      <c r="D49" s="23" t="s">
        <v>3</v>
      </c>
      <c r="E49" s="1">
        <f>SONDAGEM!C6</f>
        <v>210</v>
      </c>
    </row>
    <row r="50" spans="1:5" x14ac:dyDescent="0.25">
      <c r="A50" s="1">
        <v>0</v>
      </c>
      <c r="B50" s="1">
        <v>430</v>
      </c>
      <c r="D50" s="23" t="s">
        <v>4</v>
      </c>
      <c r="E50" s="1">
        <f ca="1">FORECAST(E49,OFFSET(B50:B59,MATCH(E49,A50:A59,1)-1,0,2),OFFSET(A50:A59,MATCH(E49,A50:A59,1)-1,0,2))</f>
        <v>23002</v>
      </c>
    </row>
    <row r="51" spans="1:5" x14ac:dyDescent="0.25">
      <c r="A51" s="1">
        <v>25</v>
      </c>
      <c r="B51" s="1">
        <v>2749</v>
      </c>
      <c r="D51" s="23" t="s">
        <v>13</v>
      </c>
      <c r="E51" s="1" t="s">
        <v>14</v>
      </c>
    </row>
    <row r="52" spans="1:5" x14ac:dyDescent="0.25">
      <c r="A52" s="1">
        <v>50</v>
      </c>
      <c r="B52" s="1">
        <v>6304</v>
      </c>
      <c r="D52" s="23" t="s">
        <v>2</v>
      </c>
      <c r="E52" s="7">
        <f>E40+200</f>
        <v>-600</v>
      </c>
    </row>
    <row r="53" spans="1:5" x14ac:dyDescent="0.25">
      <c r="A53" s="1">
        <v>100</v>
      </c>
      <c r="B53" s="1">
        <v>14060</v>
      </c>
      <c r="D53" s="23" t="s">
        <v>9</v>
      </c>
      <c r="E53" s="1">
        <v>0.84</v>
      </c>
    </row>
    <row r="54" spans="1:5" x14ac:dyDescent="0.25">
      <c r="A54" s="1">
        <v>150</v>
      </c>
      <c r="B54" s="1">
        <v>20837</v>
      </c>
    </row>
    <row r="55" spans="1:5" x14ac:dyDescent="0.25">
      <c r="A55" s="1">
        <v>200</v>
      </c>
      <c r="B55" s="1">
        <v>22681</v>
      </c>
    </row>
    <row r="56" spans="1:5" x14ac:dyDescent="0.25">
      <c r="A56" s="1">
        <v>250</v>
      </c>
      <c r="B56" s="1">
        <v>24286</v>
      </c>
    </row>
    <row r="57" spans="1:5" x14ac:dyDescent="0.25">
      <c r="A57" s="1">
        <v>260</v>
      </c>
      <c r="B57" s="1">
        <v>24286</v>
      </c>
    </row>
    <row r="61" spans="1:5" x14ac:dyDescent="0.25">
      <c r="A61" s="1" t="s">
        <v>0</v>
      </c>
      <c r="B61" s="1" t="s">
        <v>1</v>
      </c>
      <c r="D61" s="23" t="s">
        <v>3</v>
      </c>
      <c r="E61" s="1">
        <f>SONDAGEM!C6</f>
        <v>210</v>
      </c>
    </row>
    <row r="62" spans="1:5" x14ac:dyDescent="0.25">
      <c r="A62" s="1">
        <v>0</v>
      </c>
      <c r="B62" s="1">
        <v>312</v>
      </c>
      <c r="D62" s="23" t="s">
        <v>4</v>
      </c>
      <c r="E62" s="1">
        <f ca="1">FORECAST(E61,OFFSET(B62:B71,MATCH(E61,A62:A71,1)-1,0,2),OFFSET(A62:A71,MATCH(E61,A62:A71,1)-1,0,2))</f>
        <v>23029.200000000001</v>
      </c>
    </row>
    <row r="63" spans="1:5" x14ac:dyDescent="0.25">
      <c r="A63" s="1">
        <v>25</v>
      </c>
      <c r="B63" s="1">
        <v>2501</v>
      </c>
      <c r="D63" s="23" t="s">
        <v>13</v>
      </c>
      <c r="E63" s="1" t="s">
        <v>14</v>
      </c>
    </row>
    <row r="64" spans="1:5" x14ac:dyDescent="0.25">
      <c r="A64" s="1">
        <v>50</v>
      </c>
      <c r="B64" s="1">
        <v>6060</v>
      </c>
      <c r="D64" s="23" t="s">
        <v>2</v>
      </c>
      <c r="E64" s="7">
        <f>E52+200</f>
        <v>-400</v>
      </c>
    </row>
    <row r="65" spans="1:5" x14ac:dyDescent="0.25">
      <c r="A65" s="1">
        <v>100</v>
      </c>
      <c r="B65" s="1">
        <v>13820</v>
      </c>
      <c r="D65" s="23" t="s">
        <v>9</v>
      </c>
      <c r="E65" s="1">
        <v>0.84</v>
      </c>
    </row>
    <row r="66" spans="1:5" x14ac:dyDescent="0.25">
      <c r="A66" s="1">
        <v>150</v>
      </c>
      <c r="B66" s="1">
        <v>16070</v>
      </c>
    </row>
    <row r="67" spans="1:5" x14ac:dyDescent="0.25">
      <c r="A67" s="1">
        <v>200</v>
      </c>
      <c r="B67" s="1">
        <v>22715</v>
      </c>
    </row>
    <row r="68" spans="1:5" x14ac:dyDescent="0.25">
      <c r="A68" s="1">
        <v>250</v>
      </c>
      <c r="B68" s="1">
        <v>24286</v>
      </c>
    </row>
    <row r="69" spans="1:5" x14ac:dyDescent="0.25">
      <c r="A69" s="1">
        <v>260</v>
      </c>
      <c r="B69" s="1">
        <v>24286</v>
      </c>
    </row>
    <row r="73" spans="1:5" x14ac:dyDescent="0.25">
      <c r="A73" s="1" t="s">
        <v>0</v>
      </c>
      <c r="B73" s="1" t="s">
        <v>1</v>
      </c>
      <c r="D73" s="23" t="s">
        <v>3</v>
      </c>
      <c r="E73" s="1">
        <f>SONDAGEM!C6</f>
        <v>210</v>
      </c>
    </row>
    <row r="74" spans="1:5" x14ac:dyDescent="0.25">
      <c r="A74" s="1">
        <v>0</v>
      </c>
      <c r="B74" s="1">
        <v>218</v>
      </c>
      <c r="D74" s="23" t="s">
        <v>4</v>
      </c>
      <c r="E74" s="1">
        <f ca="1">FORECAST(E73,OFFSET(B74:B83,MATCH(E73,A74:A83,1)-1,0,2),OFFSET(A74:A83,MATCH(E73,A74:A83,1)-1,0,2))</f>
        <v>23055.599999999999</v>
      </c>
    </row>
    <row r="75" spans="1:5" x14ac:dyDescent="0.25">
      <c r="A75" s="1">
        <v>25</v>
      </c>
      <c r="B75" s="1">
        <v>2258</v>
      </c>
      <c r="D75" s="23" t="s">
        <v>13</v>
      </c>
      <c r="E75" s="1" t="s">
        <v>14</v>
      </c>
    </row>
    <row r="76" spans="1:5" x14ac:dyDescent="0.25">
      <c r="A76" s="1">
        <v>50</v>
      </c>
      <c r="B76" s="1">
        <v>5815</v>
      </c>
      <c r="D76" s="23" t="s">
        <v>2</v>
      </c>
      <c r="E76" s="7">
        <f>E64+200</f>
        <v>-200</v>
      </c>
    </row>
    <row r="77" spans="1:5" x14ac:dyDescent="0.25">
      <c r="A77" s="1">
        <v>100</v>
      </c>
      <c r="B77" s="1">
        <v>13581</v>
      </c>
      <c r="D77" s="23" t="s">
        <v>9</v>
      </c>
      <c r="E77" s="1">
        <v>0.84</v>
      </c>
    </row>
    <row r="78" spans="1:5" x14ac:dyDescent="0.25">
      <c r="A78" s="1">
        <v>150</v>
      </c>
      <c r="B78" s="1">
        <v>20885</v>
      </c>
    </row>
    <row r="79" spans="1:5" x14ac:dyDescent="0.25">
      <c r="A79" s="1">
        <v>200</v>
      </c>
      <c r="B79" s="1">
        <v>22748</v>
      </c>
    </row>
    <row r="80" spans="1:5" x14ac:dyDescent="0.25">
      <c r="A80" s="1">
        <v>250</v>
      </c>
      <c r="B80" s="1">
        <v>24286</v>
      </c>
    </row>
    <row r="81" spans="1:5" x14ac:dyDescent="0.25">
      <c r="A81" s="1">
        <v>260</v>
      </c>
      <c r="B81" s="1">
        <v>24286</v>
      </c>
    </row>
    <row r="85" spans="1:5" x14ac:dyDescent="0.25">
      <c r="A85" s="1" t="s">
        <v>0</v>
      </c>
      <c r="B85" s="1" t="s">
        <v>1</v>
      </c>
      <c r="D85" s="23" t="s">
        <v>3</v>
      </c>
      <c r="E85" s="1">
        <f>SONDAGEM!C6</f>
        <v>210</v>
      </c>
    </row>
    <row r="86" spans="1:5" x14ac:dyDescent="0.25">
      <c r="A86" s="1">
        <v>0</v>
      </c>
      <c r="B86" s="1">
        <v>146</v>
      </c>
      <c r="D86" s="23" t="s">
        <v>4</v>
      </c>
      <c r="E86" s="1">
        <f ca="1">FORECAST(E85,OFFSET(B86:B95,MATCH(E85,A86:A95,1)-1,0,2),OFFSET(A86:A95,MATCH(E85,A86:A95,1)-1,0,2))</f>
        <v>23082</v>
      </c>
    </row>
    <row r="87" spans="1:5" x14ac:dyDescent="0.25">
      <c r="A87" s="1">
        <v>25</v>
      </c>
      <c r="B87" s="1">
        <v>2025</v>
      </c>
      <c r="D87" s="23" t="s">
        <v>13</v>
      </c>
      <c r="E87" s="1" t="s">
        <v>14</v>
      </c>
    </row>
    <row r="88" spans="1:5" x14ac:dyDescent="0.25">
      <c r="A88" s="1">
        <v>50</v>
      </c>
      <c r="B88" s="1">
        <v>5571</v>
      </c>
      <c r="D88" s="23" t="s">
        <v>2</v>
      </c>
      <c r="E88" s="7">
        <f>E76+200</f>
        <v>0</v>
      </c>
    </row>
    <row r="89" spans="1:5" x14ac:dyDescent="0.25">
      <c r="A89" s="1">
        <v>100</v>
      </c>
      <c r="B89" s="1">
        <v>13341</v>
      </c>
      <c r="D89" s="23" t="s">
        <v>9</v>
      </c>
      <c r="E89" s="1">
        <v>0.84</v>
      </c>
    </row>
    <row r="90" spans="1:5" x14ac:dyDescent="0.25">
      <c r="A90" s="1">
        <v>150</v>
      </c>
      <c r="B90" s="1">
        <v>20840</v>
      </c>
    </row>
    <row r="91" spans="1:5" x14ac:dyDescent="0.25">
      <c r="A91" s="1">
        <v>200</v>
      </c>
      <c r="B91" s="1">
        <v>22781</v>
      </c>
    </row>
    <row r="92" spans="1:5" x14ac:dyDescent="0.25">
      <c r="A92" s="1">
        <v>250</v>
      </c>
      <c r="B92" s="1">
        <v>24286</v>
      </c>
    </row>
    <row r="93" spans="1:5" x14ac:dyDescent="0.25">
      <c r="A93" s="1">
        <v>260</v>
      </c>
      <c r="B93" s="1">
        <v>24286</v>
      </c>
    </row>
    <row r="97" spans="1:5" x14ac:dyDescent="0.25">
      <c r="A97" s="1" t="s">
        <v>0</v>
      </c>
      <c r="B97" s="1" t="s">
        <v>1</v>
      </c>
      <c r="D97" s="23" t="s">
        <v>3</v>
      </c>
      <c r="E97" s="1">
        <f>SONDAGEM!C6</f>
        <v>210</v>
      </c>
    </row>
    <row r="98" spans="1:5" x14ac:dyDescent="0.25">
      <c r="A98" s="1">
        <v>0</v>
      </c>
      <c r="B98" s="1">
        <v>97</v>
      </c>
      <c r="D98" s="23" t="s">
        <v>4</v>
      </c>
      <c r="E98" s="1">
        <f ca="1">FORECAST(E97,OFFSET(B98:B107,MATCH(E97,A98:A107,1)-1,0,2),OFFSET(A98:A107,MATCH(E97,A98:A107,1)-1,0,2))</f>
        <v>23109.200000000001</v>
      </c>
    </row>
    <row r="99" spans="1:5" x14ac:dyDescent="0.25">
      <c r="A99" s="1">
        <v>25</v>
      </c>
      <c r="B99" s="1">
        <v>1811</v>
      </c>
      <c r="D99" s="23" t="s">
        <v>13</v>
      </c>
      <c r="E99" s="1" t="s">
        <v>14</v>
      </c>
    </row>
    <row r="100" spans="1:5" x14ac:dyDescent="0.25">
      <c r="A100" s="1">
        <v>50</v>
      </c>
      <c r="B100" s="1">
        <v>5328</v>
      </c>
      <c r="D100" s="23" t="s">
        <v>2</v>
      </c>
      <c r="E100" s="7">
        <f>E88+200</f>
        <v>200</v>
      </c>
    </row>
    <row r="101" spans="1:5" x14ac:dyDescent="0.25">
      <c r="A101" s="1">
        <v>100</v>
      </c>
      <c r="B101" s="1">
        <v>13101</v>
      </c>
      <c r="D101" s="23" t="s">
        <v>9</v>
      </c>
      <c r="E101" s="1">
        <v>0.84</v>
      </c>
    </row>
    <row r="102" spans="1:5" x14ac:dyDescent="0.25">
      <c r="A102" s="1">
        <v>150</v>
      </c>
      <c r="B102" s="1">
        <v>20600</v>
      </c>
    </row>
    <row r="103" spans="1:5" x14ac:dyDescent="0.25">
      <c r="A103" s="1">
        <v>200</v>
      </c>
      <c r="B103" s="1">
        <v>22815</v>
      </c>
    </row>
    <row r="104" spans="1:5" x14ac:dyDescent="0.25">
      <c r="A104" s="1">
        <v>250</v>
      </c>
      <c r="B104" s="1">
        <v>24286</v>
      </c>
    </row>
    <row r="105" spans="1:5" x14ac:dyDescent="0.25">
      <c r="A105" s="1">
        <v>260</v>
      </c>
      <c r="B105" s="1">
        <v>24286</v>
      </c>
    </row>
    <row r="109" spans="1:5" x14ac:dyDescent="0.25">
      <c r="A109" s="1" t="s">
        <v>0</v>
      </c>
      <c r="B109" s="1" t="s">
        <v>1</v>
      </c>
      <c r="D109" s="23" t="s">
        <v>3</v>
      </c>
      <c r="E109" s="1">
        <f>SONDAGEM!C6</f>
        <v>210</v>
      </c>
    </row>
    <row r="110" spans="1:5" x14ac:dyDescent="0.25">
      <c r="A110" s="1">
        <v>0</v>
      </c>
      <c r="B110" s="1">
        <v>73</v>
      </c>
      <c r="D110" s="23" t="s">
        <v>4</v>
      </c>
      <c r="E110" s="1">
        <f ca="1">FORECAST(E109,OFFSET(B110:B119,MATCH(E109,A110:A119,1)-1,0,2),OFFSET(A110:A119,MATCH(E109,A110:A119,1)-1,0,2))</f>
        <v>23135.599999999999</v>
      </c>
    </row>
    <row r="111" spans="1:5" x14ac:dyDescent="0.25">
      <c r="A111" s="1">
        <v>25</v>
      </c>
      <c r="B111" s="1">
        <v>1622</v>
      </c>
      <c r="D111" s="23" t="s">
        <v>13</v>
      </c>
      <c r="E111" s="1" t="s">
        <v>14</v>
      </c>
    </row>
    <row r="112" spans="1:5" x14ac:dyDescent="0.25">
      <c r="A112" s="1">
        <v>50</v>
      </c>
      <c r="B112" s="1">
        <v>5085</v>
      </c>
      <c r="D112" s="23" t="s">
        <v>2</v>
      </c>
      <c r="E112" s="7">
        <f>E100+200</f>
        <v>400</v>
      </c>
    </row>
    <row r="113" spans="1:5" x14ac:dyDescent="0.25">
      <c r="A113" s="1">
        <v>100</v>
      </c>
      <c r="B113" s="1">
        <v>12861</v>
      </c>
      <c r="D113" s="23" t="s">
        <v>9</v>
      </c>
      <c r="E113" s="1">
        <v>0.84</v>
      </c>
    </row>
    <row r="114" spans="1:5" x14ac:dyDescent="0.25">
      <c r="A114" s="1">
        <v>150</v>
      </c>
      <c r="B114" s="1">
        <v>20360</v>
      </c>
    </row>
    <row r="115" spans="1:5" x14ac:dyDescent="0.25">
      <c r="A115" s="1">
        <v>200</v>
      </c>
      <c r="B115" s="1">
        <v>22848</v>
      </c>
    </row>
    <row r="116" spans="1:5" x14ac:dyDescent="0.25">
      <c r="A116" s="1">
        <v>250</v>
      </c>
      <c r="B116" s="1">
        <v>24286</v>
      </c>
    </row>
    <row r="117" spans="1:5" x14ac:dyDescent="0.25">
      <c r="A117" s="1">
        <v>260</v>
      </c>
      <c r="B117" s="1">
        <v>24286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AD5D-EAA2-43C5-882C-D57EF0343312}">
  <dimension ref="A1:E117"/>
  <sheetViews>
    <sheetView topLeftCell="A55" workbookViewId="0">
      <selection activeCell="E110" sqref="E110"/>
    </sheetView>
  </sheetViews>
  <sheetFormatPr defaultColWidth="20.42578125" defaultRowHeight="15" x14ac:dyDescent="0.25"/>
  <cols>
    <col min="1" max="2" width="20.42578125" style="2"/>
    <col min="3" max="3" width="20.42578125" style="17"/>
    <col min="4" max="4" width="30.28515625" style="2" customWidth="1"/>
    <col min="5" max="5" width="25.85546875" style="2" customWidth="1"/>
    <col min="6" max="16384" width="20.42578125" style="2"/>
  </cols>
  <sheetData>
    <row r="1" spans="1:5" x14ac:dyDescent="0.25">
      <c r="A1" s="1" t="s">
        <v>0</v>
      </c>
      <c r="B1" s="1" t="s">
        <v>1</v>
      </c>
      <c r="D1" s="18" t="s">
        <v>3</v>
      </c>
      <c r="E1" s="1">
        <f>SONDAGEM!C7</f>
        <v>210</v>
      </c>
    </row>
    <row r="2" spans="1:5" x14ac:dyDescent="0.25">
      <c r="A2" s="1">
        <v>0</v>
      </c>
      <c r="B2" s="1">
        <v>22</v>
      </c>
      <c r="D2" s="18" t="s">
        <v>4</v>
      </c>
      <c r="E2" s="1">
        <f ca="1">FORECAST(E1,OFFSET(B2:B11,MATCH(E1,A2:A11,1)-1,0,2),OFFSET(A2:A11,MATCH(E1,A2:A11,1)-1,0,2))</f>
        <v>10841.8</v>
      </c>
    </row>
    <row r="3" spans="1:5" x14ac:dyDescent="0.25">
      <c r="A3" s="1">
        <v>25</v>
      </c>
      <c r="B3" s="1">
        <v>311</v>
      </c>
      <c r="D3" s="18" t="s">
        <v>15</v>
      </c>
      <c r="E3" s="1" t="s">
        <v>16</v>
      </c>
    </row>
    <row r="4" spans="1:5" x14ac:dyDescent="0.25">
      <c r="A4" s="1">
        <v>50</v>
      </c>
      <c r="B4" s="1">
        <v>1077</v>
      </c>
      <c r="D4" s="18" t="s">
        <v>2</v>
      </c>
      <c r="E4" s="7">
        <v>-1400</v>
      </c>
    </row>
    <row r="5" spans="1:5" x14ac:dyDescent="0.25">
      <c r="A5" s="1">
        <v>100</v>
      </c>
      <c r="B5" s="1">
        <v>3742</v>
      </c>
      <c r="D5" s="18" t="s">
        <v>9</v>
      </c>
      <c r="E5" s="1">
        <v>0.84</v>
      </c>
    </row>
    <row r="6" spans="1:5" x14ac:dyDescent="0.25">
      <c r="A6" s="1">
        <v>150</v>
      </c>
      <c r="B6" s="1">
        <v>7254</v>
      </c>
    </row>
    <row r="7" spans="1:5" x14ac:dyDescent="0.25">
      <c r="A7" s="1">
        <v>200</v>
      </c>
      <c r="B7" s="1">
        <v>10647</v>
      </c>
    </row>
    <row r="8" spans="1:5" x14ac:dyDescent="0.25">
      <c r="A8" s="1">
        <v>250</v>
      </c>
      <c r="B8" s="1">
        <v>11621</v>
      </c>
    </row>
    <row r="9" spans="1:5" x14ac:dyDescent="0.25">
      <c r="A9" s="1">
        <v>260</v>
      </c>
      <c r="B9" s="1">
        <v>11621</v>
      </c>
    </row>
    <row r="13" spans="1:5" x14ac:dyDescent="0.25">
      <c r="A13" s="1" t="s">
        <v>0</v>
      </c>
      <c r="B13" s="1" t="s">
        <v>1</v>
      </c>
      <c r="D13" s="18" t="s">
        <v>3</v>
      </c>
      <c r="E13" s="1">
        <f>SONDAGEM!C7</f>
        <v>210</v>
      </c>
    </row>
    <row r="14" spans="1:5" x14ac:dyDescent="0.25">
      <c r="A14" s="1">
        <v>0</v>
      </c>
      <c r="B14" s="1">
        <v>22</v>
      </c>
      <c r="D14" s="18" t="s">
        <v>4</v>
      </c>
      <c r="E14" s="1">
        <f ca="1">FORECAST(E13,OFFSET(B14:B23,MATCH(E13,A14:A23,1)-1,0,2),OFFSET(A14:A23,MATCH(E13,A14:A23,1)-1,0,2))</f>
        <v>10794.6</v>
      </c>
    </row>
    <row r="15" spans="1:5" x14ac:dyDescent="0.25">
      <c r="A15" s="1">
        <v>25</v>
      </c>
      <c r="B15" s="1">
        <v>306</v>
      </c>
      <c r="D15" s="18" t="s">
        <v>15</v>
      </c>
      <c r="E15" s="1" t="s">
        <v>16</v>
      </c>
    </row>
    <row r="16" spans="1:5" x14ac:dyDescent="0.25">
      <c r="A16" s="1">
        <v>50</v>
      </c>
      <c r="B16" s="1">
        <v>1057</v>
      </c>
      <c r="D16" s="18" t="s">
        <v>2</v>
      </c>
      <c r="E16" s="7">
        <f>E4+200</f>
        <v>-1200</v>
      </c>
    </row>
    <row r="17" spans="1:5" x14ac:dyDescent="0.25">
      <c r="A17" s="1">
        <v>100</v>
      </c>
      <c r="B17" s="1">
        <v>3674</v>
      </c>
      <c r="D17" s="18" t="s">
        <v>9</v>
      </c>
      <c r="E17" s="1">
        <v>0.84</v>
      </c>
    </row>
    <row r="18" spans="1:5" x14ac:dyDescent="0.25">
      <c r="A18" s="1">
        <v>150</v>
      </c>
      <c r="B18" s="1">
        <v>7189</v>
      </c>
    </row>
    <row r="19" spans="1:5" x14ac:dyDescent="0.25">
      <c r="A19" s="1">
        <v>200</v>
      </c>
      <c r="B19" s="1">
        <v>10588</v>
      </c>
    </row>
    <row r="20" spans="1:5" x14ac:dyDescent="0.25">
      <c r="A20" s="1">
        <v>250</v>
      </c>
      <c r="B20" s="1">
        <v>11621</v>
      </c>
    </row>
    <row r="21" spans="1:5" x14ac:dyDescent="0.25">
      <c r="A21" s="1">
        <v>260</v>
      </c>
      <c r="B21" s="1">
        <v>11621</v>
      </c>
    </row>
    <row r="25" spans="1:5" x14ac:dyDescent="0.25">
      <c r="A25" s="1" t="s">
        <v>0</v>
      </c>
      <c r="B25" s="1" t="s">
        <v>1</v>
      </c>
      <c r="D25" s="18" t="s">
        <v>3</v>
      </c>
      <c r="E25" s="1">
        <f>SONDAGEM!C7</f>
        <v>210</v>
      </c>
    </row>
    <row r="26" spans="1:5" x14ac:dyDescent="0.25">
      <c r="A26" s="1">
        <v>0</v>
      </c>
      <c r="B26" s="1">
        <v>21</v>
      </c>
      <c r="D26" s="18" t="s">
        <v>4</v>
      </c>
      <c r="E26" s="1">
        <f ca="1">FORECAST(E25,OFFSET(B26:B35,MATCH(E25,A26:A35,1)-1,0,2),OFFSET(A26:A35,MATCH(E25,A26:A35,1)-1,0,2))</f>
        <v>10746.599999999999</v>
      </c>
    </row>
    <row r="27" spans="1:5" x14ac:dyDescent="0.25">
      <c r="A27" s="1">
        <v>25</v>
      </c>
      <c r="B27" s="1">
        <v>302</v>
      </c>
      <c r="D27" s="18" t="s">
        <v>15</v>
      </c>
      <c r="E27" s="1" t="s">
        <v>16</v>
      </c>
    </row>
    <row r="28" spans="1:5" x14ac:dyDescent="0.25">
      <c r="A28" s="1">
        <v>50</v>
      </c>
      <c r="B28" s="1">
        <v>1040</v>
      </c>
      <c r="D28" s="18" t="s">
        <v>2</v>
      </c>
      <c r="E28" s="7">
        <f>E16+200</f>
        <v>-1000</v>
      </c>
    </row>
    <row r="29" spans="1:5" x14ac:dyDescent="0.25">
      <c r="A29" s="1">
        <v>100</v>
      </c>
      <c r="B29" s="1">
        <v>3610</v>
      </c>
      <c r="D29" s="18" t="s">
        <v>9</v>
      </c>
      <c r="E29" s="1">
        <v>0.84</v>
      </c>
    </row>
    <row r="30" spans="1:5" x14ac:dyDescent="0.25">
      <c r="A30" s="1">
        <v>150</v>
      </c>
      <c r="B30" s="1">
        <v>7124</v>
      </c>
    </row>
    <row r="31" spans="1:5" x14ac:dyDescent="0.25">
      <c r="A31" s="1">
        <v>200</v>
      </c>
      <c r="B31" s="1">
        <v>10528</v>
      </c>
    </row>
    <row r="32" spans="1:5" x14ac:dyDescent="0.25">
      <c r="A32" s="1">
        <v>250</v>
      </c>
      <c r="B32" s="1">
        <v>11621</v>
      </c>
    </row>
    <row r="33" spans="1:5" x14ac:dyDescent="0.25">
      <c r="A33" s="1">
        <v>260</v>
      </c>
      <c r="B33" s="1">
        <v>11621</v>
      </c>
    </row>
    <row r="37" spans="1:5" x14ac:dyDescent="0.25">
      <c r="A37" s="1" t="s">
        <v>0</v>
      </c>
      <c r="B37" s="1" t="s">
        <v>1</v>
      </c>
      <c r="D37" s="18" t="s">
        <v>3</v>
      </c>
      <c r="E37" s="1">
        <f>SONDAGEM!C7</f>
        <v>210</v>
      </c>
    </row>
    <row r="38" spans="1:5" x14ac:dyDescent="0.25">
      <c r="A38" s="1">
        <v>0</v>
      </c>
      <c r="B38" s="1">
        <v>22</v>
      </c>
      <c r="D38" s="18" t="s">
        <v>4</v>
      </c>
      <c r="E38" s="1">
        <f ca="1">FORECAST(E37,OFFSET(B38:B47,MATCH(E37,A38:A47,1)-1,0,2),OFFSET(A38:A47,MATCH(E37,A38:A47,1)-1,0,2))</f>
        <v>10697.8</v>
      </c>
    </row>
    <row r="39" spans="1:5" x14ac:dyDescent="0.25">
      <c r="A39" s="1">
        <v>25</v>
      </c>
      <c r="B39" s="1">
        <v>299</v>
      </c>
      <c r="D39" s="18" t="s">
        <v>15</v>
      </c>
      <c r="E39" s="1" t="s">
        <v>16</v>
      </c>
    </row>
    <row r="40" spans="1:5" x14ac:dyDescent="0.25">
      <c r="A40" s="1">
        <v>50</v>
      </c>
      <c r="B40" s="1">
        <v>1024</v>
      </c>
      <c r="D40" s="18" t="s">
        <v>2</v>
      </c>
      <c r="E40" s="7">
        <f>E28+200</f>
        <v>-800</v>
      </c>
    </row>
    <row r="41" spans="1:5" x14ac:dyDescent="0.25">
      <c r="A41" s="1">
        <v>100</v>
      </c>
      <c r="B41" s="1">
        <v>3550</v>
      </c>
      <c r="D41" s="18" t="s">
        <v>9</v>
      </c>
      <c r="E41" s="1">
        <v>0.84</v>
      </c>
    </row>
    <row r="42" spans="1:5" x14ac:dyDescent="0.25">
      <c r="A42" s="1">
        <v>150</v>
      </c>
      <c r="B42" s="1">
        <v>7059</v>
      </c>
    </row>
    <row r="43" spans="1:5" x14ac:dyDescent="0.25">
      <c r="A43" s="1">
        <v>200</v>
      </c>
      <c r="B43" s="1">
        <v>10467</v>
      </c>
    </row>
    <row r="44" spans="1:5" x14ac:dyDescent="0.25">
      <c r="A44" s="1">
        <v>250</v>
      </c>
      <c r="B44" s="1">
        <v>11621</v>
      </c>
    </row>
    <row r="45" spans="1:5" x14ac:dyDescent="0.25">
      <c r="A45" s="1">
        <v>260</v>
      </c>
      <c r="B45" s="1">
        <v>11621</v>
      </c>
    </row>
    <row r="49" spans="1:5" x14ac:dyDescent="0.25">
      <c r="A49" s="1" t="s">
        <v>0</v>
      </c>
      <c r="B49" s="1" t="s">
        <v>1</v>
      </c>
      <c r="D49" s="18" t="s">
        <v>3</v>
      </c>
      <c r="E49" s="1">
        <f>SONDAGEM!C7</f>
        <v>210</v>
      </c>
    </row>
    <row r="50" spans="1:5" x14ac:dyDescent="0.25">
      <c r="A50" s="1">
        <v>0</v>
      </c>
      <c r="B50" s="1">
        <v>22</v>
      </c>
      <c r="D50" s="18" t="s">
        <v>4</v>
      </c>
      <c r="E50" s="1">
        <f ca="1">FORECAST(E49,OFFSET(B50:B59,MATCH(E49,A50:A59,1)-1,0,2),OFFSET(A50:A59,MATCH(E49,A50:A59,1)-1,0,2))</f>
        <v>10648.2</v>
      </c>
    </row>
    <row r="51" spans="1:5" x14ac:dyDescent="0.25">
      <c r="A51" s="1">
        <v>25</v>
      </c>
      <c r="B51" s="1">
        <v>296</v>
      </c>
      <c r="D51" s="18" t="s">
        <v>15</v>
      </c>
      <c r="E51" s="1" t="s">
        <v>16</v>
      </c>
    </row>
    <row r="52" spans="1:5" x14ac:dyDescent="0.25">
      <c r="A52" s="1">
        <v>50</v>
      </c>
      <c r="B52" s="1">
        <v>1010</v>
      </c>
      <c r="D52" s="18" t="s">
        <v>2</v>
      </c>
      <c r="E52" s="7">
        <f>E40+200</f>
        <v>-600</v>
      </c>
    </row>
    <row r="53" spans="1:5" x14ac:dyDescent="0.25">
      <c r="A53" s="1">
        <v>100</v>
      </c>
      <c r="B53" s="1">
        <v>3494</v>
      </c>
      <c r="D53" s="18" t="s">
        <v>9</v>
      </c>
      <c r="E53" s="1">
        <v>0.84</v>
      </c>
    </row>
    <row r="54" spans="1:5" x14ac:dyDescent="0.25">
      <c r="A54" s="1">
        <v>150</v>
      </c>
      <c r="B54" s="1">
        <v>6995</v>
      </c>
    </row>
    <row r="55" spans="1:5" x14ac:dyDescent="0.25">
      <c r="A55" s="1">
        <v>200</v>
      </c>
      <c r="B55" s="1">
        <v>10405</v>
      </c>
    </row>
    <row r="56" spans="1:5" x14ac:dyDescent="0.25">
      <c r="A56" s="1">
        <v>250</v>
      </c>
      <c r="B56" s="1">
        <v>11621</v>
      </c>
    </row>
    <row r="57" spans="1:5" x14ac:dyDescent="0.25">
      <c r="A57" s="1">
        <v>260</v>
      </c>
      <c r="B57" s="1">
        <v>11621</v>
      </c>
    </row>
    <row r="61" spans="1:5" x14ac:dyDescent="0.25">
      <c r="A61" s="1" t="s">
        <v>0</v>
      </c>
      <c r="B61" s="1" t="s">
        <v>1</v>
      </c>
      <c r="D61" s="18" t="s">
        <v>3</v>
      </c>
      <c r="E61" s="1">
        <f>SONDAGEM!C7</f>
        <v>210</v>
      </c>
    </row>
    <row r="62" spans="1:5" x14ac:dyDescent="0.25">
      <c r="A62" s="1">
        <v>0</v>
      </c>
      <c r="B62" s="1">
        <v>22</v>
      </c>
      <c r="D62" s="18" t="s">
        <v>4</v>
      </c>
      <c r="E62" s="1">
        <f ca="1">FORECAST(E61,OFFSET(B62:B71,MATCH(E61,A62:A71,1)-1,0,2),OFFSET(A62:A71,MATCH(E61,A62:A71,1)-1,0,2))</f>
        <v>10598.599999999999</v>
      </c>
    </row>
    <row r="63" spans="1:5" x14ac:dyDescent="0.25">
      <c r="A63" s="1">
        <v>25</v>
      </c>
      <c r="B63" s="1">
        <v>293</v>
      </c>
      <c r="D63" s="18" t="s">
        <v>15</v>
      </c>
      <c r="E63" s="1" t="s">
        <v>16</v>
      </c>
    </row>
    <row r="64" spans="1:5" x14ac:dyDescent="0.25">
      <c r="A64" s="1">
        <v>50</v>
      </c>
      <c r="B64" s="1">
        <v>997</v>
      </c>
      <c r="D64" s="18" t="s">
        <v>2</v>
      </c>
      <c r="E64" s="7">
        <f>E52+200</f>
        <v>-400</v>
      </c>
    </row>
    <row r="65" spans="1:5" x14ac:dyDescent="0.25">
      <c r="A65" s="1">
        <v>100</v>
      </c>
      <c r="B65" s="1">
        <v>3441</v>
      </c>
      <c r="D65" s="18" t="s">
        <v>9</v>
      </c>
      <c r="E65" s="1">
        <v>0.84</v>
      </c>
    </row>
    <row r="66" spans="1:5" x14ac:dyDescent="0.25">
      <c r="A66" s="1">
        <v>150</v>
      </c>
      <c r="B66" s="1">
        <v>6930</v>
      </c>
    </row>
    <row r="67" spans="1:5" x14ac:dyDescent="0.25">
      <c r="A67" s="1">
        <v>200</v>
      </c>
      <c r="B67" s="1">
        <v>10343</v>
      </c>
    </row>
    <row r="68" spans="1:5" x14ac:dyDescent="0.25">
      <c r="A68" s="1">
        <v>250</v>
      </c>
      <c r="B68" s="1">
        <v>11621</v>
      </c>
    </row>
    <row r="69" spans="1:5" x14ac:dyDescent="0.25">
      <c r="A69" s="1">
        <v>260</v>
      </c>
      <c r="B69" s="1">
        <v>11621</v>
      </c>
    </row>
    <row r="73" spans="1:5" x14ac:dyDescent="0.25">
      <c r="A73" s="1" t="s">
        <v>0</v>
      </c>
      <c r="B73" s="1" t="s">
        <v>1</v>
      </c>
      <c r="D73" s="18" t="s">
        <v>3</v>
      </c>
      <c r="E73" s="1">
        <f>SONDAGEM!C7</f>
        <v>210</v>
      </c>
    </row>
    <row r="74" spans="1:5" x14ac:dyDescent="0.25">
      <c r="A74" s="1">
        <v>0</v>
      </c>
      <c r="B74" s="1">
        <v>23</v>
      </c>
      <c r="D74" s="18" t="s">
        <v>4</v>
      </c>
      <c r="E74" s="1">
        <f ca="1">FORECAST(E73,OFFSET(B74:B83,MATCH(E73,A74:A83,1)-1,0,2),OFFSET(A74:A83,MATCH(E73,A74:A83,1)-1,0,2))</f>
        <v>10549</v>
      </c>
    </row>
    <row r="75" spans="1:5" x14ac:dyDescent="0.25">
      <c r="A75" s="1">
        <v>25</v>
      </c>
      <c r="B75" s="1">
        <v>292</v>
      </c>
      <c r="D75" s="18" t="s">
        <v>15</v>
      </c>
      <c r="E75" s="1" t="s">
        <v>16</v>
      </c>
    </row>
    <row r="76" spans="1:5" x14ac:dyDescent="0.25">
      <c r="A76" s="1">
        <v>50</v>
      </c>
      <c r="B76" s="1">
        <v>984</v>
      </c>
      <c r="D76" s="18" t="s">
        <v>2</v>
      </c>
      <c r="E76" s="7">
        <f>E64+200</f>
        <v>-200</v>
      </c>
    </row>
    <row r="77" spans="1:5" x14ac:dyDescent="0.25">
      <c r="A77" s="1">
        <v>100</v>
      </c>
      <c r="B77" s="1">
        <v>3392</v>
      </c>
      <c r="D77" s="18" t="s">
        <v>9</v>
      </c>
      <c r="E77" s="1">
        <v>0.84</v>
      </c>
    </row>
    <row r="78" spans="1:5" x14ac:dyDescent="0.25">
      <c r="A78" s="1">
        <v>150</v>
      </c>
      <c r="B78" s="1">
        <v>6865</v>
      </c>
    </row>
    <row r="79" spans="1:5" x14ac:dyDescent="0.25">
      <c r="A79" s="1">
        <v>200</v>
      </c>
      <c r="B79" s="1">
        <v>10281</v>
      </c>
    </row>
    <row r="80" spans="1:5" x14ac:dyDescent="0.25">
      <c r="A80" s="1">
        <v>250</v>
      </c>
      <c r="B80" s="1">
        <v>11621</v>
      </c>
    </row>
    <row r="81" spans="1:5" x14ac:dyDescent="0.25">
      <c r="A81" s="1">
        <v>260</v>
      </c>
      <c r="B81" s="1">
        <v>11621</v>
      </c>
    </row>
    <row r="85" spans="1:5" x14ac:dyDescent="0.25">
      <c r="A85" s="1" t="s">
        <v>0</v>
      </c>
      <c r="B85" s="1" t="s">
        <v>1</v>
      </c>
      <c r="D85" s="18" t="s">
        <v>3</v>
      </c>
      <c r="E85" s="1">
        <f>SONDAGEM!C7</f>
        <v>210</v>
      </c>
    </row>
    <row r="86" spans="1:5" x14ac:dyDescent="0.25">
      <c r="A86" s="1">
        <v>0</v>
      </c>
      <c r="B86" s="1">
        <v>23</v>
      </c>
      <c r="D86" s="18" t="s">
        <v>4</v>
      </c>
      <c r="E86" s="1">
        <f ca="1">FORECAST(E85,OFFSET(B86:B95,MATCH(E85,A86:A95,1)-1,0,2),OFFSET(A86:A95,MATCH(E85,A86:A95,1)-1,0,2))</f>
        <v>10498.599999999999</v>
      </c>
    </row>
    <row r="87" spans="1:5" x14ac:dyDescent="0.25">
      <c r="A87" s="1">
        <v>25</v>
      </c>
      <c r="B87" s="1">
        <v>291</v>
      </c>
      <c r="D87" s="18" t="s">
        <v>15</v>
      </c>
      <c r="E87" s="1" t="s">
        <v>16</v>
      </c>
    </row>
    <row r="88" spans="1:5" x14ac:dyDescent="0.25">
      <c r="A88" s="1">
        <v>50</v>
      </c>
      <c r="B88" s="1">
        <v>974</v>
      </c>
      <c r="D88" s="18" t="s">
        <v>2</v>
      </c>
      <c r="E88" s="7">
        <f>E76+200</f>
        <v>0</v>
      </c>
    </row>
    <row r="89" spans="1:5" x14ac:dyDescent="0.25">
      <c r="A89" s="1">
        <v>100</v>
      </c>
      <c r="B89" s="1">
        <v>3246</v>
      </c>
      <c r="D89" s="18" t="s">
        <v>9</v>
      </c>
      <c r="E89" s="1">
        <v>0.84</v>
      </c>
    </row>
    <row r="90" spans="1:5" x14ac:dyDescent="0.25">
      <c r="A90" s="1">
        <v>150</v>
      </c>
      <c r="B90" s="1">
        <v>6800</v>
      </c>
    </row>
    <row r="91" spans="1:5" x14ac:dyDescent="0.25">
      <c r="A91" s="1">
        <v>200</v>
      </c>
      <c r="B91" s="1">
        <v>10218</v>
      </c>
    </row>
    <row r="92" spans="1:5" x14ac:dyDescent="0.25">
      <c r="A92" s="1">
        <v>250</v>
      </c>
      <c r="B92" s="1">
        <v>11621</v>
      </c>
    </row>
    <row r="93" spans="1:5" x14ac:dyDescent="0.25">
      <c r="A93" s="1">
        <v>260</v>
      </c>
      <c r="B93" s="1">
        <v>11621</v>
      </c>
    </row>
    <row r="97" spans="1:5" x14ac:dyDescent="0.25">
      <c r="A97" s="1" t="s">
        <v>0</v>
      </c>
      <c r="B97" s="1" t="s">
        <v>1</v>
      </c>
      <c r="D97" s="18" t="s">
        <v>3</v>
      </c>
      <c r="E97" s="1">
        <f>SONDAGEM!C7</f>
        <v>210</v>
      </c>
    </row>
    <row r="98" spans="1:5" x14ac:dyDescent="0.25">
      <c r="A98" s="1">
        <v>0</v>
      </c>
      <c r="B98" s="1">
        <v>23</v>
      </c>
      <c r="D98" s="18" t="s">
        <v>4</v>
      </c>
      <c r="E98" s="1">
        <f ca="1">FORECAST(E97,OFFSET(B98:B107,MATCH(E97,A98:A107,1)-1,0,2),OFFSET(A98:A107,MATCH(E97,A98:A107,1)-1,0,2))</f>
        <v>10449</v>
      </c>
    </row>
    <row r="99" spans="1:5" x14ac:dyDescent="0.25">
      <c r="A99" s="1">
        <v>25</v>
      </c>
      <c r="B99" s="1">
        <v>289</v>
      </c>
      <c r="D99" s="18" t="s">
        <v>15</v>
      </c>
      <c r="E99" s="1" t="s">
        <v>16</v>
      </c>
    </row>
    <row r="100" spans="1:5" x14ac:dyDescent="0.25">
      <c r="A100" s="1">
        <v>50</v>
      </c>
      <c r="B100" s="1">
        <v>964</v>
      </c>
      <c r="D100" s="18" t="s">
        <v>2</v>
      </c>
      <c r="E100" s="7">
        <f>E88+200</f>
        <v>200</v>
      </c>
    </row>
    <row r="101" spans="1:5" x14ac:dyDescent="0.25">
      <c r="A101" s="1">
        <v>100</v>
      </c>
      <c r="B101" s="1">
        <v>3304</v>
      </c>
      <c r="D101" s="18" t="s">
        <v>9</v>
      </c>
      <c r="E101" s="1">
        <v>0.84</v>
      </c>
    </row>
    <row r="102" spans="1:5" x14ac:dyDescent="0.25">
      <c r="A102" s="1">
        <v>150</v>
      </c>
      <c r="B102" s="1">
        <v>6736</v>
      </c>
    </row>
    <row r="103" spans="1:5" x14ac:dyDescent="0.25">
      <c r="A103" s="1">
        <v>200</v>
      </c>
      <c r="B103" s="1">
        <v>10156</v>
      </c>
    </row>
    <row r="104" spans="1:5" x14ac:dyDescent="0.25">
      <c r="A104" s="1">
        <v>250</v>
      </c>
      <c r="B104" s="1">
        <v>11621</v>
      </c>
    </row>
    <row r="105" spans="1:5" x14ac:dyDescent="0.25">
      <c r="A105" s="1">
        <v>260</v>
      </c>
      <c r="B105" s="1">
        <v>11621</v>
      </c>
    </row>
    <row r="109" spans="1:5" x14ac:dyDescent="0.25">
      <c r="A109" s="1" t="s">
        <v>0</v>
      </c>
      <c r="B109" s="1" t="s">
        <v>1</v>
      </c>
      <c r="D109" s="18" t="s">
        <v>3</v>
      </c>
      <c r="E109" s="1">
        <f>SONDAGEM!C7</f>
        <v>210</v>
      </c>
    </row>
    <row r="110" spans="1:5" x14ac:dyDescent="0.25">
      <c r="A110" s="1">
        <v>0</v>
      </c>
      <c r="B110" s="1">
        <v>24</v>
      </c>
      <c r="D110" s="18" t="s">
        <v>4</v>
      </c>
      <c r="E110" s="1">
        <f ca="1">FORECAST(E109,OFFSET(B110:B119,MATCH(E109,A110:A119,1)-1,0,2),OFFSET(A110:A119,MATCH(E109,A110:A119,1)-1,0,2))</f>
        <v>10398.599999999999</v>
      </c>
    </row>
    <row r="111" spans="1:5" x14ac:dyDescent="0.25">
      <c r="A111" s="1">
        <v>25</v>
      </c>
      <c r="B111" s="1">
        <v>288</v>
      </c>
      <c r="D111" s="18" t="s">
        <v>15</v>
      </c>
      <c r="E111" s="1" t="s">
        <v>16</v>
      </c>
    </row>
    <row r="112" spans="1:5" x14ac:dyDescent="0.25">
      <c r="A112" s="1">
        <v>50</v>
      </c>
      <c r="B112" s="1">
        <v>955</v>
      </c>
      <c r="D112" s="18" t="s">
        <v>2</v>
      </c>
      <c r="E112" s="7">
        <f>E100+200</f>
        <v>400</v>
      </c>
    </row>
    <row r="113" spans="1:5" x14ac:dyDescent="0.25">
      <c r="A113" s="1">
        <v>100</v>
      </c>
      <c r="B113" s="1">
        <v>3264</v>
      </c>
      <c r="D113" s="18" t="s">
        <v>9</v>
      </c>
      <c r="E113" s="1">
        <v>0.84</v>
      </c>
    </row>
    <row r="114" spans="1:5" x14ac:dyDescent="0.25">
      <c r="A114" s="1">
        <v>150</v>
      </c>
      <c r="B114" s="1">
        <v>6672</v>
      </c>
    </row>
    <row r="115" spans="1:5" x14ac:dyDescent="0.25">
      <c r="A115" s="1">
        <v>200</v>
      </c>
      <c r="B115" s="1">
        <v>10093</v>
      </c>
    </row>
    <row r="116" spans="1:5" x14ac:dyDescent="0.25">
      <c r="A116" s="1">
        <v>250</v>
      </c>
      <c r="B116" s="1">
        <v>11621</v>
      </c>
    </row>
    <row r="117" spans="1:5" x14ac:dyDescent="0.25">
      <c r="A117" s="1">
        <v>260</v>
      </c>
      <c r="B117" s="1">
        <v>11621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6CCF-A827-4313-9DE1-F83A3FC9B20C}">
  <dimension ref="A1:E117"/>
  <sheetViews>
    <sheetView topLeftCell="A73" workbookViewId="0">
      <selection activeCell="B116" sqref="B116:B117"/>
    </sheetView>
  </sheetViews>
  <sheetFormatPr defaultColWidth="20.42578125" defaultRowHeight="15" x14ac:dyDescent="0.25"/>
  <cols>
    <col min="1" max="2" width="20.42578125" style="2"/>
    <col min="3" max="3" width="20.42578125" style="17"/>
    <col min="4" max="4" width="30.28515625" style="2" customWidth="1"/>
    <col min="5" max="5" width="25.85546875" style="2" customWidth="1"/>
    <col min="6" max="16384" width="20.42578125" style="2"/>
  </cols>
  <sheetData>
    <row r="1" spans="1:5" x14ac:dyDescent="0.25">
      <c r="A1" s="1" t="s">
        <v>0</v>
      </c>
      <c r="B1" s="1" t="s">
        <v>1</v>
      </c>
      <c r="D1" s="18" t="s">
        <v>3</v>
      </c>
      <c r="E1" s="1">
        <f>SONDAGEM!C8</f>
        <v>210</v>
      </c>
    </row>
    <row r="2" spans="1:5" x14ac:dyDescent="0.25">
      <c r="A2" s="1">
        <v>0</v>
      </c>
      <c r="B2" s="1">
        <v>30</v>
      </c>
      <c r="D2" s="18" t="s">
        <v>4</v>
      </c>
      <c r="E2" s="1">
        <f ca="1">FORECAST(E1,OFFSET(B2:B11,MATCH(E1,A2:A11,1)-1,0,2),OFFSET(A2:A11,MATCH(E1,A2:A11,1)-1,0,2))</f>
        <v>13963</v>
      </c>
    </row>
    <row r="3" spans="1:5" x14ac:dyDescent="0.25">
      <c r="A3" s="1">
        <v>25</v>
      </c>
      <c r="B3" s="1">
        <v>497</v>
      </c>
      <c r="D3" s="18" t="s">
        <v>17</v>
      </c>
      <c r="E3" s="1" t="s">
        <v>18</v>
      </c>
    </row>
    <row r="4" spans="1:5" x14ac:dyDescent="0.25">
      <c r="A4" s="1">
        <v>50</v>
      </c>
      <c r="B4" s="1">
        <v>1646</v>
      </c>
      <c r="D4" s="18" t="s">
        <v>2</v>
      </c>
      <c r="E4" s="7">
        <v>-1400</v>
      </c>
    </row>
    <row r="5" spans="1:5" x14ac:dyDescent="0.25">
      <c r="A5" s="1">
        <v>100</v>
      </c>
      <c r="B5" s="1">
        <v>5155</v>
      </c>
      <c r="D5" s="18" t="s">
        <v>9</v>
      </c>
      <c r="E5" s="1">
        <v>0.84</v>
      </c>
    </row>
    <row r="6" spans="1:5" x14ac:dyDescent="0.25">
      <c r="A6" s="1">
        <v>150</v>
      </c>
      <c r="B6" s="1">
        <v>9561</v>
      </c>
    </row>
    <row r="7" spans="1:5" x14ac:dyDescent="0.25">
      <c r="A7" s="1">
        <v>200</v>
      </c>
      <c r="B7" s="1">
        <v>13747</v>
      </c>
    </row>
    <row r="8" spans="1:5" x14ac:dyDescent="0.25">
      <c r="A8" s="1">
        <v>250</v>
      </c>
      <c r="B8" s="1">
        <v>14827</v>
      </c>
    </row>
    <row r="9" spans="1:5" x14ac:dyDescent="0.25">
      <c r="A9" s="1">
        <v>260</v>
      </c>
      <c r="B9" s="1">
        <v>14827</v>
      </c>
    </row>
    <row r="13" spans="1:5" x14ac:dyDescent="0.25">
      <c r="A13" s="1" t="s">
        <v>0</v>
      </c>
      <c r="B13" s="1" t="s">
        <v>1</v>
      </c>
      <c r="D13" s="18" t="s">
        <v>3</v>
      </c>
      <c r="E13" s="1">
        <f>SONDAGEM!C8</f>
        <v>210</v>
      </c>
    </row>
    <row r="14" spans="1:5" x14ac:dyDescent="0.25">
      <c r="A14" s="1">
        <v>0</v>
      </c>
      <c r="B14" s="1">
        <v>35</v>
      </c>
      <c r="D14" s="18" t="s">
        <v>4</v>
      </c>
      <c r="E14" s="1">
        <f ca="1">FORECAST(E13,OFFSET(B14:B23,MATCH(E13,A14:A23,1)-1,0,2),OFFSET(A14:A23,MATCH(E13,A14:A23,1)-1,0,2))</f>
        <v>13915.8</v>
      </c>
    </row>
    <row r="15" spans="1:5" x14ac:dyDescent="0.25">
      <c r="A15" s="1">
        <v>25</v>
      </c>
      <c r="B15" s="1">
        <v>511</v>
      </c>
      <c r="D15" s="18" t="s">
        <v>17</v>
      </c>
      <c r="E15" s="1" t="s">
        <v>18</v>
      </c>
    </row>
    <row r="16" spans="1:5" x14ac:dyDescent="0.25">
      <c r="A16" s="1">
        <v>50</v>
      </c>
      <c r="B16" s="1">
        <v>1654</v>
      </c>
      <c r="D16" s="18" t="s">
        <v>2</v>
      </c>
      <c r="E16" s="7">
        <f>E4+200</f>
        <v>-1200</v>
      </c>
    </row>
    <row r="17" spans="1:5" x14ac:dyDescent="0.25">
      <c r="A17" s="1">
        <v>100</v>
      </c>
      <c r="B17" s="1">
        <v>5120</v>
      </c>
      <c r="D17" s="18" t="s">
        <v>9</v>
      </c>
      <c r="E17" s="1">
        <v>0.84</v>
      </c>
    </row>
    <row r="18" spans="1:5" x14ac:dyDescent="0.25">
      <c r="A18" s="1">
        <v>150</v>
      </c>
      <c r="B18" s="1">
        <v>9531</v>
      </c>
    </row>
    <row r="19" spans="1:5" x14ac:dyDescent="0.25">
      <c r="A19" s="1">
        <v>200</v>
      </c>
      <c r="B19" s="1">
        <v>13688</v>
      </c>
    </row>
    <row r="20" spans="1:5" x14ac:dyDescent="0.25">
      <c r="A20" s="1">
        <v>250</v>
      </c>
      <c r="B20" s="1">
        <v>14827</v>
      </c>
    </row>
    <row r="21" spans="1:5" x14ac:dyDescent="0.25">
      <c r="A21" s="1">
        <v>260</v>
      </c>
      <c r="B21" s="1">
        <v>14827</v>
      </c>
    </row>
    <row r="25" spans="1:5" x14ac:dyDescent="0.25">
      <c r="A25" s="1" t="s">
        <v>0</v>
      </c>
      <c r="B25" s="1" t="s">
        <v>1</v>
      </c>
      <c r="D25" s="18" t="s">
        <v>3</v>
      </c>
      <c r="E25" s="1">
        <f>SONDAGEM!C8</f>
        <v>210</v>
      </c>
    </row>
    <row r="26" spans="1:5" x14ac:dyDescent="0.25">
      <c r="A26" s="1">
        <v>0</v>
      </c>
      <c r="B26" s="1">
        <v>39</v>
      </c>
      <c r="D26" s="18" t="s">
        <v>4</v>
      </c>
      <c r="E26" s="1">
        <f ca="1">FORECAST(E25,OFFSET(B26:B35,MATCH(E25,A26:A35,1)-1,0,2),OFFSET(A26:A35,MATCH(E25,A26:A35,1)-1,0,2))</f>
        <v>13868.6</v>
      </c>
    </row>
    <row r="27" spans="1:5" x14ac:dyDescent="0.25">
      <c r="A27" s="1">
        <v>25</v>
      </c>
      <c r="B27" s="1">
        <v>525</v>
      </c>
      <c r="D27" s="18" t="s">
        <v>17</v>
      </c>
      <c r="E27" s="1" t="s">
        <v>18</v>
      </c>
    </row>
    <row r="28" spans="1:5" x14ac:dyDescent="0.25">
      <c r="A28" s="1">
        <v>50</v>
      </c>
      <c r="B28" s="1">
        <v>1663</v>
      </c>
      <c r="D28" s="18" t="s">
        <v>2</v>
      </c>
      <c r="E28" s="7">
        <f>E16+200</f>
        <v>-1000</v>
      </c>
    </row>
    <row r="29" spans="1:5" x14ac:dyDescent="0.25">
      <c r="A29" s="1">
        <v>100</v>
      </c>
      <c r="B29" s="1">
        <v>5089</v>
      </c>
      <c r="D29" s="18" t="s">
        <v>9</v>
      </c>
      <c r="E29" s="1">
        <v>0.84</v>
      </c>
    </row>
    <row r="30" spans="1:5" x14ac:dyDescent="0.25">
      <c r="A30" s="1">
        <v>150</v>
      </c>
      <c r="B30" s="1">
        <v>9502</v>
      </c>
    </row>
    <row r="31" spans="1:5" x14ac:dyDescent="0.25">
      <c r="A31" s="1">
        <v>200</v>
      </c>
      <c r="B31" s="1">
        <v>13629</v>
      </c>
    </row>
    <row r="32" spans="1:5" x14ac:dyDescent="0.25">
      <c r="A32" s="1">
        <v>250</v>
      </c>
      <c r="B32" s="1">
        <v>14827</v>
      </c>
    </row>
    <row r="33" spans="1:5" x14ac:dyDescent="0.25">
      <c r="A33" s="1">
        <v>260</v>
      </c>
      <c r="B33" s="1">
        <v>14827</v>
      </c>
    </row>
    <row r="37" spans="1:5" x14ac:dyDescent="0.25">
      <c r="A37" s="1" t="s">
        <v>0</v>
      </c>
      <c r="B37" s="1" t="s">
        <v>1</v>
      </c>
      <c r="D37" s="18" t="s">
        <v>3</v>
      </c>
      <c r="E37" s="1">
        <f>SONDAGEM!C8</f>
        <v>210</v>
      </c>
    </row>
    <row r="38" spans="1:5" x14ac:dyDescent="0.25">
      <c r="A38" s="1">
        <v>0</v>
      </c>
      <c r="B38" s="1">
        <v>44</v>
      </c>
      <c r="D38" s="18" t="s">
        <v>4</v>
      </c>
      <c r="E38" s="1">
        <f ca="1">FORECAST(E37,OFFSET(B38:B47,MATCH(E37,A38:A47,1)-1,0,2),OFFSET(A38:A47,MATCH(E37,A38:A47,1)-1,0,2))</f>
        <v>13820.6</v>
      </c>
    </row>
    <row r="39" spans="1:5" x14ac:dyDescent="0.25">
      <c r="A39" s="1">
        <v>25</v>
      </c>
      <c r="B39" s="1">
        <v>541</v>
      </c>
      <c r="D39" s="18" t="s">
        <v>17</v>
      </c>
      <c r="E39" s="1" t="s">
        <v>18</v>
      </c>
    </row>
    <row r="40" spans="1:5" x14ac:dyDescent="0.25">
      <c r="A40" s="1">
        <v>50</v>
      </c>
      <c r="B40" s="1">
        <v>1674</v>
      </c>
      <c r="D40" s="18" t="s">
        <v>2</v>
      </c>
      <c r="E40" s="7">
        <f>E28+200</f>
        <v>-800</v>
      </c>
    </row>
    <row r="41" spans="1:5" x14ac:dyDescent="0.25">
      <c r="A41" s="1">
        <v>100</v>
      </c>
      <c r="B41" s="1">
        <v>5061</v>
      </c>
      <c r="D41" s="18" t="s">
        <v>9</v>
      </c>
      <c r="E41" s="1">
        <v>0.84</v>
      </c>
    </row>
    <row r="42" spans="1:5" x14ac:dyDescent="0.25">
      <c r="A42" s="1">
        <v>150</v>
      </c>
      <c r="B42" s="1">
        <v>9472</v>
      </c>
    </row>
    <row r="43" spans="1:5" x14ac:dyDescent="0.25">
      <c r="A43" s="1">
        <v>200</v>
      </c>
      <c r="B43" s="1">
        <v>13569</v>
      </c>
    </row>
    <row r="44" spans="1:5" x14ac:dyDescent="0.25">
      <c r="A44" s="1">
        <v>250</v>
      </c>
      <c r="B44" s="1">
        <v>14827</v>
      </c>
    </row>
    <row r="45" spans="1:5" x14ac:dyDescent="0.25">
      <c r="A45" s="1">
        <v>260</v>
      </c>
      <c r="B45" s="1">
        <v>14827</v>
      </c>
    </row>
    <row r="49" spans="1:5" x14ac:dyDescent="0.25">
      <c r="A49" s="1" t="s">
        <v>0</v>
      </c>
      <c r="B49" s="1" t="s">
        <v>1</v>
      </c>
      <c r="D49" s="18" t="s">
        <v>3</v>
      </c>
      <c r="E49" s="1">
        <f>SONDAGEM!C8</f>
        <v>210</v>
      </c>
    </row>
    <row r="50" spans="1:5" x14ac:dyDescent="0.25">
      <c r="A50" s="1">
        <v>0</v>
      </c>
      <c r="B50" s="1">
        <v>51</v>
      </c>
      <c r="D50" s="18" t="s">
        <v>4</v>
      </c>
      <c r="E50" s="1">
        <f ca="1">FORECAST(E49,OFFSET(B50:B59,MATCH(E49,A50:A59,1)-1,0,2),OFFSET(A50:A59,MATCH(E49,A50:A59,1)-1,0,2))</f>
        <v>13772.599999999999</v>
      </c>
    </row>
    <row r="51" spans="1:5" x14ac:dyDescent="0.25">
      <c r="A51" s="1">
        <v>25</v>
      </c>
      <c r="B51" s="1">
        <v>558</v>
      </c>
      <c r="D51" s="18" t="s">
        <v>17</v>
      </c>
      <c r="E51" s="1" t="s">
        <v>18</v>
      </c>
    </row>
    <row r="52" spans="1:5" x14ac:dyDescent="0.25">
      <c r="A52" s="1">
        <v>50</v>
      </c>
      <c r="B52" s="1">
        <v>1686</v>
      </c>
      <c r="D52" s="18" t="s">
        <v>2</v>
      </c>
      <c r="E52" s="7">
        <f>E40+200</f>
        <v>-600</v>
      </c>
    </row>
    <row r="53" spans="1:5" x14ac:dyDescent="0.25">
      <c r="A53" s="1">
        <v>100</v>
      </c>
      <c r="B53" s="1">
        <v>5038</v>
      </c>
      <c r="D53" s="18" t="s">
        <v>9</v>
      </c>
      <c r="E53" s="1">
        <v>0.84</v>
      </c>
    </row>
    <row r="54" spans="1:5" x14ac:dyDescent="0.25">
      <c r="A54" s="1">
        <v>150</v>
      </c>
      <c r="B54" s="1">
        <v>9443</v>
      </c>
    </row>
    <row r="55" spans="1:5" x14ac:dyDescent="0.25">
      <c r="A55" s="1">
        <v>200</v>
      </c>
      <c r="B55" s="1">
        <v>13509</v>
      </c>
    </row>
    <row r="56" spans="1:5" x14ac:dyDescent="0.25">
      <c r="A56" s="1">
        <v>250</v>
      </c>
      <c r="B56" s="1">
        <v>14827</v>
      </c>
    </row>
    <row r="57" spans="1:5" x14ac:dyDescent="0.25">
      <c r="A57" s="1">
        <v>260</v>
      </c>
      <c r="B57" s="1">
        <v>14827</v>
      </c>
    </row>
    <row r="61" spans="1:5" x14ac:dyDescent="0.25">
      <c r="A61" s="1" t="s">
        <v>0</v>
      </c>
      <c r="B61" s="1" t="s">
        <v>1</v>
      </c>
      <c r="D61" s="18" t="s">
        <v>3</v>
      </c>
      <c r="E61" s="1">
        <f>SONDAGEM!C8</f>
        <v>210</v>
      </c>
    </row>
    <row r="62" spans="1:5" x14ac:dyDescent="0.25">
      <c r="A62" s="1">
        <v>0</v>
      </c>
      <c r="B62" s="1">
        <v>57</v>
      </c>
      <c r="D62" s="18" t="s">
        <v>4</v>
      </c>
      <c r="E62" s="1">
        <f ca="1">FORECAST(E61,OFFSET(B62:B71,MATCH(E61,A62:A71,1)-1,0,2),OFFSET(A62:A71,MATCH(E61,A62:A71,1)-1,0,2))</f>
        <v>13724.599999999999</v>
      </c>
    </row>
    <row r="63" spans="1:5" x14ac:dyDescent="0.25">
      <c r="A63" s="1">
        <v>25</v>
      </c>
      <c r="B63" s="1">
        <v>576</v>
      </c>
      <c r="D63" s="18" t="s">
        <v>17</v>
      </c>
      <c r="E63" s="1" t="s">
        <v>18</v>
      </c>
    </row>
    <row r="64" spans="1:5" x14ac:dyDescent="0.25">
      <c r="A64" s="1">
        <v>50</v>
      </c>
      <c r="B64" s="1">
        <v>1700</v>
      </c>
      <c r="D64" s="18" t="s">
        <v>2</v>
      </c>
      <c r="E64" s="7">
        <f>E52+200</f>
        <v>-400</v>
      </c>
    </row>
    <row r="65" spans="1:5" x14ac:dyDescent="0.25">
      <c r="A65" s="1">
        <v>100</v>
      </c>
      <c r="B65" s="1">
        <v>5018</v>
      </c>
      <c r="D65" s="18" t="s">
        <v>9</v>
      </c>
      <c r="E65" s="1">
        <v>0.84</v>
      </c>
    </row>
    <row r="66" spans="1:5" x14ac:dyDescent="0.25">
      <c r="A66" s="1">
        <v>150</v>
      </c>
      <c r="B66" s="1">
        <v>9413</v>
      </c>
    </row>
    <row r="67" spans="1:5" x14ac:dyDescent="0.25">
      <c r="A67" s="1">
        <v>200</v>
      </c>
      <c r="B67" s="1">
        <v>13449</v>
      </c>
    </row>
    <row r="68" spans="1:5" x14ac:dyDescent="0.25">
      <c r="A68" s="1">
        <v>250</v>
      </c>
      <c r="B68" s="1">
        <v>14827</v>
      </c>
    </row>
    <row r="69" spans="1:5" x14ac:dyDescent="0.25">
      <c r="A69" s="1">
        <v>260</v>
      </c>
      <c r="B69" s="1">
        <v>14827</v>
      </c>
    </row>
    <row r="73" spans="1:5" x14ac:dyDescent="0.25">
      <c r="A73" s="1" t="s">
        <v>0</v>
      </c>
      <c r="B73" s="21" t="s">
        <v>1</v>
      </c>
      <c r="D73" s="18" t="s">
        <v>3</v>
      </c>
      <c r="E73" s="1">
        <f>SONDAGEM!C8</f>
        <v>210</v>
      </c>
    </row>
    <row r="74" spans="1:5" x14ac:dyDescent="0.25">
      <c r="A74" s="1">
        <v>0</v>
      </c>
      <c r="B74" s="21">
        <v>64</v>
      </c>
      <c r="D74" s="18" t="s">
        <v>4</v>
      </c>
      <c r="E74" s="1">
        <f ca="1">FORECAST(E73,OFFSET(B74:B83,MATCH(E73,A74:A83,1)-1,0,2),OFFSET(A74:A83,MATCH(E73,A74:A83,1)-1,0,2))</f>
        <v>13675.8</v>
      </c>
    </row>
    <row r="75" spans="1:5" x14ac:dyDescent="0.25">
      <c r="A75" s="1">
        <v>25</v>
      </c>
      <c r="B75" s="21">
        <v>595</v>
      </c>
      <c r="D75" s="18" t="s">
        <v>17</v>
      </c>
      <c r="E75" s="1" t="s">
        <v>18</v>
      </c>
    </row>
    <row r="76" spans="1:5" x14ac:dyDescent="0.25">
      <c r="A76" s="1">
        <v>50</v>
      </c>
      <c r="B76" s="21">
        <v>1714</v>
      </c>
      <c r="D76" s="18" t="s">
        <v>2</v>
      </c>
      <c r="E76" s="7">
        <f>E64+200</f>
        <v>-200</v>
      </c>
    </row>
    <row r="77" spans="1:5" x14ac:dyDescent="0.25">
      <c r="A77" s="1">
        <v>100</v>
      </c>
      <c r="B77" s="21">
        <v>5002</v>
      </c>
      <c r="D77" s="18" t="s">
        <v>9</v>
      </c>
      <c r="E77" s="1">
        <v>0.84</v>
      </c>
    </row>
    <row r="78" spans="1:5" x14ac:dyDescent="0.25">
      <c r="A78" s="1">
        <v>150</v>
      </c>
      <c r="B78" s="21">
        <v>9384</v>
      </c>
    </row>
    <row r="79" spans="1:5" x14ac:dyDescent="0.25">
      <c r="A79" s="1">
        <v>200</v>
      </c>
      <c r="B79" s="21">
        <v>13388</v>
      </c>
    </row>
    <row r="80" spans="1:5" x14ac:dyDescent="0.25">
      <c r="A80" s="1">
        <v>250</v>
      </c>
      <c r="B80" s="1">
        <v>14827</v>
      </c>
    </row>
    <row r="81" spans="1:5" x14ac:dyDescent="0.25">
      <c r="A81" s="1">
        <v>260</v>
      </c>
      <c r="B81" s="1">
        <v>14827</v>
      </c>
    </row>
    <row r="85" spans="1:5" x14ac:dyDescent="0.25">
      <c r="A85" s="1" t="s">
        <v>0</v>
      </c>
      <c r="B85" s="1" t="s">
        <v>1</v>
      </c>
      <c r="D85" s="18" t="s">
        <v>3</v>
      </c>
      <c r="E85" s="1">
        <f>SONDAGEM!C8</f>
        <v>210</v>
      </c>
    </row>
    <row r="86" spans="1:5" x14ac:dyDescent="0.25">
      <c r="A86" s="1">
        <v>0</v>
      </c>
      <c r="B86" s="1">
        <v>72</v>
      </c>
      <c r="D86" s="18" t="s">
        <v>4</v>
      </c>
      <c r="E86" s="1">
        <f ca="1">FORECAST(E85,OFFSET(B86:B95,MATCH(E85,A86:A95,1)-1,0,2),OFFSET(A86:A95,MATCH(E85,A86:A95,1)-1,0,2))</f>
        <v>13625.4</v>
      </c>
    </row>
    <row r="87" spans="1:5" x14ac:dyDescent="0.25">
      <c r="A87" s="1">
        <v>25</v>
      </c>
      <c r="B87" s="1">
        <v>615</v>
      </c>
      <c r="D87" s="18" t="s">
        <v>17</v>
      </c>
      <c r="E87" s="1" t="s">
        <v>18</v>
      </c>
    </row>
    <row r="88" spans="1:5" x14ac:dyDescent="0.25">
      <c r="A88" s="1">
        <v>50</v>
      </c>
      <c r="B88" s="1">
        <v>1730</v>
      </c>
      <c r="D88" s="18" t="s">
        <v>2</v>
      </c>
      <c r="E88" s="7">
        <f>E76+200</f>
        <v>0</v>
      </c>
    </row>
    <row r="89" spans="1:5" x14ac:dyDescent="0.25">
      <c r="A89" s="1">
        <v>100</v>
      </c>
      <c r="B89" s="1">
        <v>4989</v>
      </c>
      <c r="D89" s="18" t="s">
        <v>9</v>
      </c>
      <c r="E89" s="1">
        <v>0.84</v>
      </c>
    </row>
    <row r="90" spans="1:5" x14ac:dyDescent="0.25">
      <c r="A90" s="1">
        <v>150</v>
      </c>
      <c r="B90" s="1">
        <v>9355</v>
      </c>
    </row>
    <row r="91" spans="1:5" x14ac:dyDescent="0.25">
      <c r="A91" s="1">
        <v>200</v>
      </c>
      <c r="B91" s="1">
        <v>13325</v>
      </c>
    </row>
    <row r="92" spans="1:5" x14ac:dyDescent="0.25">
      <c r="A92" s="1">
        <v>250</v>
      </c>
      <c r="B92" s="1">
        <v>14827</v>
      </c>
    </row>
    <row r="93" spans="1:5" x14ac:dyDescent="0.25">
      <c r="A93" s="1">
        <v>260</v>
      </c>
      <c r="B93" s="1">
        <v>14827</v>
      </c>
    </row>
    <row r="97" spans="1:5" x14ac:dyDescent="0.25">
      <c r="A97" s="1" t="s">
        <v>0</v>
      </c>
      <c r="B97" s="1" t="s">
        <v>1</v>
      </c>
      <c r="D97" s="18" t="s">
        <v>3</v>
      </c>
      <c r="E97" s="1">
        <f>SONDAGEM!C8</f>
        <v>210</v>
      </c>
    </row>
    <row r="98" spans="1:5" x14ac:dyDescent="0.25">
      <c r="A98" s="1">
        <v>0</v>
      </c>
      <c r="B98" s="1">
        <v>80</v>
      </c>
      <c r="D98" s="18" t="s">
        <v>4</v>
      </c>
      <c r="E98" s="1">
        <f ca="1">FORECAST(E97,OFFSET(B98:B107,MATCH(E97,A98:A107,1)-1,0,2),OFFSET(A98:A107,MATCH(E97,A98:A107,1)-1,0,2))</f>
        <v>13575</v>
      </c>
    </row>
    <row r="99" spans="1:5" x14ac:dyDescent="0.25">
      <c r="A99" s="1">
        <v>25</v>
      </c>
      <c r="B99" s="1">
        <v>637</v>
      </c>
      <c r="D99" s="18" t="s">
        <v>17</v>
      </c>
      <c r="E99" s="1" t="s">
        <v>18</v>
      </c>
    </row>
    <row r="100" spans="1:5" x14ac:dyDescent="0.25">
      <c r="A100" s="1">
        <v>50</v>
      </c>
      <c r="B100" s="1">
        <v>1746</v>
      </c>
      <c r="D100" s="18" t="s">
        <v>2</v>
      </c>
      <c r="E100" s="7">
        <f>E88+200</f>
        <v>200</v>
      </c>
    </row>
    <row r="101" spans="1:5" x14ac:dyDescent="0.25">
      <c r="A101" s="1">
        <v>100</v>
      </c>
      <c r="B101" s="1">
        <v>4979</v>
      </c>
      <c r="D101" s="18" t="s">
        <v>9</v>
      </c>
      <c r="E101" s="1">
        <v>0.84</v>
      </c>
    </row>
    <row r="102" spans="1:5" x14ac:dyDescent="0.25">
      <c r="A102" s="1">
        <v>150</v>
      </c>
      <c r="B102" s="1">
        <v>9326</v>
      </c>
    </row>
    <row r="103" spans="1:5" x14ac:dyDescent="0.25">
      <c r="A103" s="1">
        <v>200</v>
      </c>
      <c r="B103" s="1">
        <v>13262</v>
      </c>
    </row>
    <row r="104" spans="1:5" x14ac:dyDescent="0.25">
      <c r="A104" s="1">
        <v>250</v>
      </c>
      <c r="B104" s="1">
        <v>14827</v>
      </c>
    </row>
    <row r="105" spans="1:5" x14ac:dyDescent="0.25">
      <c r="A105" s="1">
        <v>260</v>
      </c>
      <c r="B105" s="1">
        <v>14827</v>
      </c>
    </row>
    <row r="109" spans="1:5" x14ac:dyDescent="0.25">
      <c r="A109" s="1" t="s">
        <v>0</v>
      </c>
      <c r="B109" s="1" t="s">
        <v>1</v>
      </c>
      <c r="D109" s="18" t="s">
        <v>3</v>
      </c>
      <c r="E109" s="1">
        <f>SONDAGEM!C8</f>
        <v>210</v>
      </c>
    </row>
    <row r="110" spans="1:5" x14ac:dyDescent="0.25">
      <c r="A110" s="1">
        <v>0</v>
      </c>
      <c r="B110" s="1">
        <v>88</v>
      </c>
      <c r="D110" s="18" t="s">
        <v>4</v>
      </c>
      <c r="E110" s="1">
        <f ca="1">FORECAST(E109,OFFSET(B110:B119,MATCH(E109,A110:A119,1)-1,0,2),OFFSET(A110:A119,MATCH(E109,A110:A119,1)-1,0,2))</f>
        <v>13524.599999999999</v>
      </c>
    </row>
    <row r="111" spans="1:5" x14ac:dyDescent="0.25">
      <c r="A111" s="1">
        <v>25</v>
      </c>
      <c r="B111" s="1">
        <v>658</v>
      </c>
      <c r="D111" s="18" t="s">
        <v>17</v>
      </c>
      <c r="E111" s="1" t="s">
        <v>18</v>
      </c>
    </row>
    <row r="112" spans="1:5" x14ac:dyDescent="0.25">
      <c r="A112" s="1">
        <v>50</v>
      </c>
      <c r="B112" s="1">
        <v>1764</v>
      </c>
      <c r="D112" s="18" t="s">
        <v>2</v>
      </c>
      <c r="E112" s="7">
        <f>E100+200</f>
        <v>400</v>
      </c>
    </row>
    <row r="113" spans="1:5" x14ac:dyDescent="0.25">
      <c r="A113" s="1">
        <v>100</v>
      </c>
      <c r="B113" s="1">
        <v>4971</v>
      </c>
      <c r="D113" s="18" t="s">
        <v>9</v>
      </c>
      <c r="E113" s="1">
        <v>0.84</v>
      </c>
    </row>
    <row r="114" spans="1:5" x14ac:dyDescent="0.25">
      <c r="A114" s="1">
        <v>150</v>
      </c>
      <c r="B114" s="1">
        <v>9298</v>
      </c>
    </row>
    <row r="115" spans="1:5" x14ac:dyDescent="0.25">
      <c r="A115" s="1">
        <v>200</v>
      </c>
      <c r="B115" s="1">
        <v>13199</v>
      </c>
    </row>
    <row r="116" spans="1:5" x14ac:dyDescent="0.25">
      <c r="A116" s="1">
        <v>250</v>
      </c>
      <c r="B116" s="1">
        <v>14827</v>
      </c>
    </row>
    <row r="117" spans="1:5" x14ac:dyDescent="0.25">
      <c r="A117" s="1">
        <v>260</v>
      </c>
      <c r="B117" s="1">
        <v>14827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7ED552B4BFDD439F7E250BF0D08DC4" ma:contentTypeVersion="2" ma:contentTypeDescription="Create a new document." ma:contentTypeScope="" ma:versionID="6782d93ce90fb838652563831339f4c5">
  <xsd:schema xmlns:xsd="http://www.w3.org/2001/XMLSchema" xmlns:xs="http://www.w3.org/2001/XMLSchema" xmlns:p="http://schemas.microsoft.com/office/2006/metadata/properties" xmlns:ns3="c7e9e12b-e488-4582-bba1-43117c8a34f0" targetNamespace="http://schemas.microsoft.com/office/2006/metadata/properties" ma:root="true" ma:fieldsID="96c06d7b49296558d8113b8e8d3456dc" ns3:_="">
    <xsd:import namespace="c7e9e12b-e488-4582-bba1-43117c8a34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9e12b-e488-4582-bba1-43117c8a34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F1CAD3-7F9D-4361-89CA-378293315381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c7e9e12b-e488-4582-bba1-43117c8a34f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3591E9E-8CE9-485E-BC0F-520EE7C7C3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237E80-0E2A-42D3-AF94-5D38761BDA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e9e12b-e488-4582-bba1-43117c8a34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SONDAGEM</vt:lpstr>
      <vt:lpstr> TK4 </vt:lpstr>
      <vt:lpstr>TK5</vt:lpstr>
      <vt:lpstr>TK6</vt:lpstr>
      <vt:lpstr>TK7</vt:lpstr>
      <vt:lpstr>TK11</vt:lpstr>
      <vt:lpstr>TK12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jossian brito</dc:creator>
  <cp:lastModifiedBy>jossian brito</cp:lastModifiedBy>
  <dcterms:created xsi:type="dcterms:W3CDTF">2022-09-19T20:08:19Z</dcterms:created>
  <dcterms:modified xsi:type="dcterms:W3CDTF">2022-09-20T21:33:58Z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0x010100297ED552B4BFDD439F7E250BF0D08DC4</vt:lpwstr>
  </property>
</Properties>
</file>