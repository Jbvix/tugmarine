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48D70339-7CED-4D86-A151-674EBC687003}" xr6:coauthVersionLast="47" xr6:coauthVersionMax="47" xr10:uidLastSave="{00000000-0000-0000-0000-000000000000}"/>
  <bookViews>
    <workbookView xWindow="-120" yWindow="-120" windowWidth="29040" windowHeight="15840" xr2:uid="{B068CDB6-7130-4711-9690-1A974A21EB48}"/>
  </bookViews>
  <sheets>
    <sheet name="SONDAGEM LH1500" sheetId="5" r:id="rId1"/>
    <sheet name="TQ 4CT" sheetId="1" r:id="rId2"/>
    <sheet name="04BB.BE" sheetId="2" r:id="rId3"/>
    <sheet name="TQ 06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E7" i="5" s="1"/>
  <c r="C8" i="5"/>
  <c r="E1" i="3"/>
  <c r="E2" i="3" s="1"/>
  <c r="D6" i="5" s="1"/>
  <c r="E6" i="5" s="1"/>
  <c r="K1" i="2"/>
  <c r="K2" i="2" s="1"/>
  <c r="D5" i="5" s="1"/>
  <c r="E5" i="5" s="1"/>
  <c r="E1" i="2"/>
  <c r="E2" i="2" s="1"/>
  <c r="D4" i="5" s="1"/>
  <c r="E4" i="5" s="1"/>
  <c r="E1" i="1"/>
  <c r="E2" i="1" s="1"/>
  <c r="D3" i="5" s="1"/>
  <c r="D8" i="5" l="1"/>
  <c r="E8" i="5" s="1"/>
  <c r="E3" i="5"/>
</calcChain>
</file>

<file path=xl/sharedStrings.xml><?xml version="1.0" encoding="utf-8"?>
<sst xmlns="http://schemas.openxmlformats.org/spreadsheetml/2006/main" count="28" uniqueCount="15">
  <si>
    <t>SOND</t>
  </si>
  <si>
    <t>VOLUME</t>
  </si>
  <si>
    <t>SONDAGEM</t>
  </si>
  <si>
    <t xml:space="preserve">VOLUME </t>
  </si>
  <si>
    <t>SONDAGEM LH1500</t>
  </si>
  <si>
    <t>TANQUE</t>
  </si>
  <si>
    <t>TQ06</t>
  </si>
  <si>
    <t>TQ4CT</t>
  </si>
  <si>
    <t>TQ4BB</t>
  </si>
  <si>
    <t>TQ4BE</t>
  </si>
  <si>
    <t>%</t>
  </si>
  <si>
    <t>TOTAL</t>
  </si>
  <si>
    <t>SERVIÇO</t>
  </si>
  <si>
    <t>VOLUME(LTS)</t>
  </si>
  <si>
    <t>CAPACIDADE(LTS)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</si>
</sst>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sz val="24"/>
      <color theme="0"/>
      <name val="Arial Black"/>
      <family val="2"/>
    </font>
    <font>
      <sz val="24"/>
      <color theme="1"/>
      <name val="Arial Black"/>
      <family val="2"/>
    </font>
    <font>
      <b/>
      <sz val="24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2DC2-17B2-4365-87D0-B77021B43F8F}">
  <dimension ref="A1:E8"/>
  <sheetViews>
    <sheetView showGridLines="0" showRowColHeaders="0" tabSelected="1" topLeftCell="A2" workbookViewId="0">
      <selection activeCell="B7" sqref="B7"/>
    </sheetView>
  </sheetViews>
  <sheetFormatPr defaultColWidth="15.140625" defaultRowHeight="15" x14ac:dyDescent="0.25"/>
  <cols>
    <col min="1" max="2" width="42.7109375" customWidth="1"/>
    <col min="3" max="3" width="52.42578125" customWidth="1"/>
    <col min="4" max="4" width="50.28515625" customWidth="1"/>
    <col min="5" max="5" width="42.7109375" customWidth="1"/>
  </cols>
  <sheetData>
    <row r="1" spans="1:5" s="1" customFormat="1" ht="71.25" customHeight="1" x14ac:dyDescent="0.25">
      <c r="A1" s="6" t="s">
        <v>4</v>
      </c>
      <c r="B1" s="6"/>
      <c r="C1" s="6"/>
      <c r="D1" s="6"/>
      <c r="E1" s="6"/>
    </row>
    <row r="2" spans="1:5" s="1" customFormat="1" ht="71.25" customHeight="1" x14ac:dyDescent="0.25">
      <c r="A2" s="2" t="s">
        <v>5</v>
      </c>
      <c r="B2" s="2" t="s">
        <v>2</v>
      </c>
      <c r="C2" s="2" t="s">
        <v>14</v>
      </c>
      <c r="D2" s="2" t="s">
        <v>13</v>
      </c>
      <c r="E2" s="2" t="s">
        <v>10</v>
      </c>
    </row>
    <row r="3" spans="1:5" s="1" customFormat="1" ht="71.25" customHeight="1" x14ac:dyDescent="0.25">
      <c r="A3" s="2" t="s">
        <v>7</v>
      </c>
      <c r="B3" s="3">
        <v>130</v>
      </c>
      <c r="C3" s="9">
        <v>38312</v>
      </c>
      <c r="D3" s="5">
        <f ca="1">'TQ 4CT'!E2</f>
        <v>34971</v>
      </c>
      <c r="E3" s="8">
        <f ca="1">D3/C3</f>
        <v>0.91279494675297557</v>
      </c>
    </row>
    <row r="4" spans="1:5" s="1" customFormat="1" ht="71.25" customHeight="1" x14ac:dyDescent="0.25">
      <c r="A4" s="2" t="s">
        <v>8</v>
      </c>
      <c r="B4" s="3">
        <v>100</v>
      </c>
      <c r="C4" s="9">
        <v>22390</v>
      </c>
      <c r="D4" s="5">
        <f ca="1">'04BB.BE'!E2</f>
        <v>22161</v>
      </c>
      <c r="E4" s="8">
        <f t="shared" ref="E4:E6" ca="1" si="0">D4/C4</f>
        <v>0.98977221974095575</v>
      </c>
    </row>
    <row r="5" spans="1:5" s="1" customFormat="1" ht="71.25" customHeight="1" x14ac:dyDescent="0.25">
      <c r="A5" s="2" t="s">
        <v>9</v>
      </c>
      <c r="B5" s="3">
        <v>100</v>
      </c>
      <c r="C5" s="9">
        <v>22390</v>
      </c>
      <c r="D5" s="5">
        <f ca="1">'04BB.BE'!K2</f>
        <v>22161</v>
      </c>
      <c r="E5" s="8">
        <f t="shared" ca="1" si="0"/>
        <v>0.98977221974095575</v>
      </c>
    </row>
    <row r="6" spans="1:5" s="1" customFormat="1" ht="71.25" customHeight="1" x14ac:dyDescent="0.25">
      <c r="A6" s="2" t="s">
        <v>6</v>
      </c>
      <c r="B6" s="3">
        <v>400</v>
      </c>
      <c r="C6" s="9">
        <v>51295</v>
      </c>
      <c r="D6" s="5">
        <f ca="1">'TQ 06'!E2</f>
        <v>47385</v>
      </c>
      <c r="E6" s="8">
        <f t="shared" ca="1" si="0"/>
        <v>0.92377424700263189</v>
      </c>
    </row>
    <row r="7" spans="1:5" s="1" customFormat="1" ht="71.25" customHeight="1" x14ac:dyDescent="0.25">
      <c r="A7" s="11" t="s">
        <v>12</v>
      </c>
      <c r="B7" s="12"/>
      <c r="C7" s="9">
        <v>7680</v>
      </c>
      <c r="D7" s="5">
        <f>B7</f>
        <v>0</v>
      </c>
      <c r="E7" s="8">
        <f>D7/C7</f>
        <v>0</v>
      </c>
    </row>
    <row r="8" spans="1:5" ht="71.25" customHeight="1" x14ac:dyDescent="0.25">
      <c r="A8" s="7" t="s">
        <v>11</v>
      </c>
      <c r="B8" s="7"/>
      <c r="C8" s="4">
        <f>SUM(C3:C7)</f>
        <v>142067</v>
      </c>
      <c r="D8" s="3">
        <f ca="1">SUM(D3:D7)</f>
        <v>126678</v>
      </c>
      <c r="E8" s="10">
        <f ca="1">D8/C8</f>
        <v>0.89167787030063284</v>
      </c>
    </row>
  </sheetData>
  <sheetProtection selectLockedCells="1"/>
  <mergeCells count="2">
    <mergeCell ref="A1:E1"/>
    <mergeCell ref="A8:B8"/>
  </mergeCells>
  <conditionalFormatting sqref="E3:E7">
    <cfRule type="cellIs" dxfId="2" priority="3" operator="between">
      <formula>0.9</formula>
      <formula>1</formula>
    </cfRule>
  </conditionalFormatting>
  <conditionalFormatting sqref="E8">
    <cfRule type="cellIs" dxfId="0" priority="1" operator="between">
      <formula>0.9</formula>
      <formula>1</formula>
    </cfRule>
  </conditionalFormatting>
  <dataValidations count="4">
    <dataValidation type="whole" allowBlank="1" showInputMessage="1" showErrorMessage="1" errorTitle="ATENÇÃO " error="SONDAGEM ENTRE 0 E 139" promptTitle="ATENÇÃO " prompt="NUMEROS ENTRE 0 E 139" sqref="B3" xr:uid="{B265BA6B-EE3E-47BA-AC17-8B92F43BAA64}">
      <formula1>0</formula1>
      <formula2>139</formula2>
    </dataValidation>
    <dataValidation type="whole" allowBlank="1" showInputMessage="1" showErrorMessage="1" errorTitle="ATENÇÃO " error="VALORES ENTRE O E 109" promptTitle="ATENÇÃO " prompt="VALORES ENTRE 0 E 109" sqref="B4" xr:uid="{717253B6-37C3-44EB-BF15-465DD20F67EC}">
      <formula1>0</formula1>
      <formula2>109</formula2>
    </dataValidation>
    <dataValidation type="whole" allowBlank="1" showInputMessage="1" showErrorMessage="1" errorTitle="ATENÇÃO " error="NUMEROS ENTRE 0 E 109" promptTitle="ATENÇÃO " prompt="NUMEROS ENTRE 0 E 109" sqref="B5" xr:uid="{36B4DF03-99A9-4E6D-A147-4A2E59B48B8B}">
      <formula1>0</formula1>
      <formula2>109</formula2>
    </dataValidation>
    <dataValidation type="whole" allowBlank="1" showInputMessage="1" showErrorMessage="1" errorTitle="ATENÇÃO " error="NUMEROS ENTRE 0 E 432" promptTitle="ATENÇÃO " prompt="VALORES ENTRE 0 E 432" sqref="B6" xr:uid="{1C7AA4FD-D56F-4A10-B7AD-5DEDA30C9246}">
      <formula1>0</formula1>
      <formula2>432</formula2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C786-7608-446E-A6CE-AC1056C196AF}">
  <dimension ref="A1:E16"/>
  <sheetViews>
    <sheetView workbookViewId="0">
      <selection activeCell="D1" sqref="D1:E2"/>
    </sheetView>
  </sheetViews>
  <sheetFormatPr defaultRowHeight="15" x14ac:dyDescent="0.25"/>
  <cols>
    <col min="4" max="4" width="16.57031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LH1500'!B3</f>
        <v>130</v>
      </c>
    </row>
    <row r="2" spans="1:5" x14ac:dyDescent="0.25">
      <c r="A2">
        <v>0</v>
      </c>
      <c r="B2">
        <v>0.6</v>
      </c>
      <c r="D2" t="s">
        <v>1</v>
      </c>
      <c r="E2">
        <f ca="1">FORECAST(E1,OFFSET(B2:B17,MATCH(E1,A2:A17,1)-1,0,2),OFFSET(A2:A17,MATCH(E1,A2:A17,1)-1,0,2))</f>
        <v>34971</v>
      </c>
    </row>
    <row r="3" spans="1:5" x14ac:dyDescent="0.25">
      <c r="A3">
        <v>10</v>
      </c>
      <c r="B3">
        <v>594</v>
      </c>
    </row>
    <row r="4" spans="1:5" x14ac:dyDescent="0.25">
      <c r="A4">
        <v>20</v>
      </c>
      <c r="B4">
        <v>1682</v>
      </c>
    </row>
    <row r="5" spans="1:5" x14ac:dyDescent="0.25">
      <c r="A5">
        <v>30</v>
      </c>
      <c r="B5">
        <v>3644</v>
      </c>
    </row>
    <row r="6" spans="1:5" x14ac:dyDescent="0.25">
      <c r="A6">
        <v>40</v>
      </c>
      <c r="B6">
        <v>6052</v>
      </c>
    </row>
    <row r="7" spans="1:5" x14ac:dyDescent="0.25">
      <c r="A7">
        <v>50</v>
      </c>
      <c r="B7">
        <v>8792</v>
      </c>
    </row>
    <row r="8" spans="1:5" x14ac:dyDescent="0.25">
      <c r="A8">
        <v>60</v>
      </c>
      <c r="B8">
        <v>11841</v>
      </c>
    </row>
    <row r="9" spans="1:5" x14ac:dyDescent="0.25">
      <c r="A9">
        <v>70</v>
      </c>
      <c r="B9">
        <v>15026</v>
      </c>
    </row>
    <row r="10" spans="1:5" x14ac:dyDescent="0.25">
      <c r="A10">
        <v>80</v>
      </c>
      <c r="B10">
        <v>18266</v>
      </c>
    </row>
    <row r="11" spans="1:5" x14ac:dyDescent="0.25">
      <c r="A11">
        <v>90</v>
      </c>
      <c r="B11">
        <v>21607</v>
      </c>
    </row>
    <row r="12" spans="1:5" x14ac:dyDescent="0.25">
      <c r="A12">
        <v>100</v>
      </c>
      <c r="B12">
        <v>24948</v>
      </c>
    </row>
    <row r="13" spans="1:5" x14ac:dyDescent="0.25">
      <c r="A13">
        <v>110</v>
      </c>
      <c r="B13">
        <v>28289</v>
      </c>
    </row>
    <row r="14" spans="1:5" x14ac:dyDescent="0.25">
      <c r="A14">
        <v>120</v>
      </c>
      <c r="B14">
        <v>31630</v>
      </c>
    </row>
    <row r="15" spans="1:5" x14ac:dyDescent="0.25">
      <c r="A15">
        <v>130</v>
      </c>
      <c r="B15">
        <v>34971</v>
      </c>
    </row>
    <row r="16" spans="1:5" x14ac:dyDescent="0.25">
      <c r="A16">
        <v>140</v>
      </c>
      <c r="B16">
        <v>38312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F5C1-0BB9-4B38-8AB5-37CBBDF5EE95}">
  <dimension ref="A1:K13"/>
  <sheetViews>
    <sheetView workbookViewId="0">
      <selection activeCell="K2" sqref="K2"/>
    </sheetView>
  </sheetViews>
  <sheetFormatPr defaultRowHeight="15" x14ac:dyDescent="0.25"/>
  <cols>
    <col min="1" max="1" width="13.28515625" customWidth="1"/>
    <col min="2" max="2" width="10.85546875" customWidth="1"/>
    <col min="7" max="8" width="12.42578125" customWidth="1"/>
  </cols>
  <sheetData>
    <row r="1" spans="1:11" x14ac:dyDescent="0.25">
      <c r="A1" t="s">
        <v>2</v>
      </c>
      <c r="B1" t="s">
        <v>3</v>
      </c>
      <c r="D1" t="s">
        <v>2</v>
      </c>
      <c r="E1">
        <f>'SONDAGEM LH1500'!B4</f>
        <v>100</v>
      </c>
      <c r="G1" t="s">
        <v>2</v>
      </c>
      <c r="H1" t="s">
        <v>3</v>
      </c>
      <c r="J1" t="s">
        <v>2</v>
      </c>
      <c r="K1">
        <f>'SONDAGEM LH1500'!B5</f>
        <v>100</v>
      </c>
    </row>
    <row r="2" spans="1:11" x14ac:dyDescent="0.25">
      <c r="A2">
        <v>0</v>
      </c>
      <c r="B2">
        <v>960</v>
      </c>
      <c r="D2" t="s">
        <v>1</v>
      </c>
      <c r="E2">
        <f ca="1">FORECAST(E1,OFFSET(B2:B112,MATCH(E1,A2:A112,1)-1,0,2),OFFSET(A2:A112,MATCH(E1,A2:A112,1)-1,0,2))</f>
        <v>22161</v>
      </c>
      <c r="G2">
        <v>0</v>
      </c>
      <c r="H2">
        <v>960</v>
      </c>
      <c r="J2" t="s">
        <v>1</v>
      </c>
      <c r="K2">
        <f ca="1">FORECAST(K1,OFFSET(H2:H112,MATCH(K1,G2:G112,1)-1,0,2),OFFSET(G2:G112,MATCH(K1,G2:G112,1)-1,0,2))</f>
        <v>22161</v>
      </c>
    </row>
    <row r="3" spans="1:11" x14ac:dyDescent="0.25">
      <c r="A3">
        <v>10</v>
      </c>
      <c r="B3">
        <v>1802</v>
      </c>
      <c r="G3">
        <v>10</v>
      </c>
      <c r="H3">
        <v>1802</v>
      </c>
    </row>
    <row r="4" spans="1:11" x14ac:dyDescent="0.25">
      <c r="A4">
        <v>20</v>
      </c>
      <c r="B4">
        <v>3118</v>
      </c>
      <c r="G4">
        <v>20</v>
      </c>
      <c r="H4">
        <v>3118</v>
      </c>
    </row>
    <row r="5" spans="1:11" x14ac:dyDescent="0.25">
      <c r="A5">
        <v>30</v>
      </c>
      <c r="B5">
        <v>4966</v>
      </c>
      <c r="G5">
        <v>30</v>
      </c>
      <c r="H5">
        <v>4966</v>
      </c>
    </row>
    <row r="6" spans="1:11" x14ac:dyDescent="0.25">
      <c r="A6">
        <v>40</v>
      </c>
      <c r="B6">
        <v>7017</v>
      </c>
      <c r="G6">
        <v>40</v>
      </c>
      <c r="H6">
        <v>7017</v>
      </c>
    </row>
    <row r="7" spans="1:11" x14ac:dyDescent="0.25">
      <c r="A7">
        <v>50</v>
      </c>
      <c r="B7">
        <v>9409</v>
      </c>
      <c r="G7">
        <v>50</v>
      </c>
      <c r="H7">
        <v>9409</v>
      </c>
    </row>
    <row r="8" spans="1:11" x14ac:dyDescent="0.25">
      <c r="A8">
        <v>60</v>
      </c>
      <c r="B8">
        <v>11833</v>
      </c>
      <c r="G8">
        <v>60</v>
      </c>
      <c r="H8">
        <v>11833</v>
      </c>
    </row>
    <row r="9" spans="1:11" x14ac:dyDescent="0.25">
      <c r="A9">
        <v>70</v>
      </c>
      <c r="B9">
        <v>14277</v>
      </c>
      <c r="G9">
        <v>70</v>
      </c>
      <c r="H9">
        <v>14277</v>
      </c>
    </row>
    <row r="10" spans="1:11" x14ac:dyDescent="0.25">
      <c r="A10">
        <v>80</v>
      </c>
      <c r="B10">
        <v>16836</v>
      </c>
      <c r="G10">
        <v>80</v>
      </c>
      <c r="H10">
        <v>16836</v>
      </c>
    </row>
    <row r="11" spans="1:11" x14ac:dyDescent="0.25">
      <c r="A11">
        <v>90</v>
      </c>
      <c r="B11">
        <v>19531</v>
      </c>
      <c r="G11">
        <v>90</v>
      </c>
      <c r="H11">
        <v>19531</v>
      </c>
    </row>
    <row r="12" spans="1:11" x14ac:dyDescent="0.25">
      <c r="A12">
        <v>100</v>
      </c>
      <c r="B12">
        <v>22161</v>
      </c>
      <c r="G12">
        <v>100</v>
      </c>
      <c r="H12">
        <v>22161</v>
      </c>
    </row>
    <row r="13" spans="1:11" x14ac:dyDescent="0.25">
      <c r="A13">
        <v>110</v>
      </c>
      <c r="B13">
        <v>22390</v>
      </c>
      <c r="G13">
        <v>110</v>
      </c>
      <c r="H13">
        <v>22390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7273-8338-4A25-BEB6-CFF4CB4B6607}">
  <dimension ref="A1:E46"/>
  <sheetViews>
    <sheetView workbookViewId="0">
      <selection activeCell="E2" sqref="E2"/>
    </sheetView>
  </sheetViews>
  <sheetFormatPr defaultRowHeight="15" x14ac:dyDescent="0.25"/>
  <cols>
    <col min="1" max="1" width="12.28515625" customWidth="1"/>
    <col min="4" max="4" width="13.85546875" customWidth="1"/>
    <col min="5" max="5" width="18.7109375" customWidth="1"/>
  </cols>
  <sheetData>
    <row r="1" spans="1:5" x14ac:dyDescent="0.25">
      <c r="A1" t="s">
        <v>2</v>
      </c>
      <c r="B1" t="s">
        <v>1</v>
      </c>
      <c r="D1" t="s">
        <v>2</v>
      </c>
      <c r="E1">
        <f>'SONDAGEM LH1500'!B6</f>
        <v>400</v>
      </c>
    </row>
    <row r="2" spans="1:5" x14ac:dyDescent="0.25">
      <c r="A2">
        <v>0</v>
      </c>
      <c r="B2">
        <v>73</v>
      </c>
      <c r="D2" t="s">
        <v>1</v>
      </c>
      <c r="E2">
        <f ca="1">FORECAST(E1,OFFSET(B2:B112,MATCH(E1,A2:A112,1)-1,0,2),OFFSET(A2:A112,MATCH(E1,A2:A112,1)-1,0,2))</f>
        <v>47385</v>
      </c>
    </row>
    <row r="3" spans="1:5" x14ac:dyDescent="0.25">
      <c r="A3">
        <v>10</v>
      </c>
      <c r="B3">
        <v>177</v>
      </c>
    </row>
    <row r="4" spans="1:5" x14ac:dyDescent="0.25">
      <c r="A4">
        <v>20</v>
      </c>
      <c r="B4">
        <v>341</v>
      </c>
    </row>
    <row r="5" spans="1:5" x14ac:dyDescent="0.25">
      <c r="A5">
        <v>30</v>
      </c>
      <c r="B5">
        <v>652</v>
      </c>
    </row>
    <row r="6" spans="1:5" x14ac:dyDescent="0.25">
      <c r="A6">
        <v>40</v>
      </c>
      <c r="B6">
        <v>1067</v>
      </c>
    </row>
    <row r="7" spans="1:5" x14ac:dyDescent="0.25">
      <c r="A7">
        <v>50</v>
      </c>
      <c r="B7">
        <v>1603</v>
      </c>
    </row>
    <row r="8" spans="1:5" x14ac:dyDescent="0.25">
      <c r="A8">
        <v>60</v>
      </c>
      <c r="B8">
        <v>2226</v>
      </c>
    </row>
    <row r="9" spans="1:5" x14ac:dyDescent="0.25">
      <c r="A9">
        <v>70</v>
      </c>
      <c r="B9">
        <v>2994</v>
      </c>
    </row>
    <row r="10" spans="1:5" x14ac:dyDescent="0.25">
      <c r="A10">
        <v>80</v>
      </c>
      <c r="B10">
        <v>3824</v>
      </c>
    </row>
    <row r="11" spans="1:5" x14ac:dyDescent="0.25">
      <c r="A11">
        <v>90</v>
      </c>
      <c r="B11">
        <v>4837</v>
      </c>
    </row>
    <row r="12" spans="1:5" x14ac:dyDescent="0.25">
      <c r="A12">
        <v>100</v>
      </c>
      <c r="B12">
        <v>5875</v>
      </c>
    </row>
    <row r="13" spans="1:5" x14ac:dyDescent="0.25">
      <c r="A13">
        <v>110</v>
      </c>
      <c r="B13">
        <v>7043</v>
      </c>
    </row>
    <row r="14" spans="1:5" x14ac:dyDescent="0.25">
      <c r="A14">
        <v>120</v>
      </c>
      <c r="B14">
        <v>8326</v>
      </c>
    </row>
    <row r="15" spans="1:5" x14ac:dyDescent="0.25">
      <c r="A15">
        <v>130</v>
      </c>
      <c r="B15">
        <v>9779</v>
      </c>
    </row>
    <row r="16" spans="1:5" x14ac:dyDescent="0.25">
      <c r="A16">
        <v>140</v>
      </c>
      <c r="B16">
        <v>11232</v>
      </c>
    </row>
    <row r="17" spans="1:2" x14ac:dyDescent="0.25">
      <c r="A17">
        <v>150</v>
      </c>
      <c r="B17">
        <v>12781</v>
      </c>
    </row>
    <row r="18" spans="1:2" x14ac:dyDescent="0.25">
      <c r="A18">
        <v>160</v>
      </c>
      <c r="B18">
        <v>14398</v>
      </c>
    </row>
    <row r="19" spans="1:2" x14ac:dyDescent="0.25">
      <c r="A19">
        <v>170</v>
      </c>
      <c r="B19">
        <v>16059</v>
      </c>
    </row>
    <row r="20" spans="1:2" x14ac:dyDescent="0.25">
      <c r="A20">
        <v>180</v>
      </c>
      <c r="B20">
        <v>17719</v>
      </c>
    </row>
    <row r="21" spans="1:2" x14ac:dyDescent="0.25">
      <c r="A21">
        <v>190</v>
      </c>
      <c r="B21">
        <v>19380</v>
      </c>
    </row>
    <row r="22" spans="1:2" x14ac:dyDescent="0.25">
      <c r="A22">
        <v>200</v>
      </c>
      <c r="B22">
        <v>21040</v>
      </c>
    </row>
    <row r="23" spans="1:2" x14ac:dyDescent="0.25">
      <c r="A23">
        <v>210</v>
      </c>
      <c r="B23">
        <v>22701</v>
      </c>
    </row>
    <row r="24" spans="1:2" x14ac:dyDescent="0.25">
      <c r="A24">
        <v>220</v>
      </c>
      <c r="B24">
        <v>24361</v>
      </c>
    </row>
    <row r="25" spans="1:2" x14ac:dyDescent="0.25">
      <c r="A25">
        <v>230</v>
      </c>
      <c r="B25">
        <v>26022</v>
      </c>
    </row>
    <row r="26" spans="1:2" x14ac:dyDescent="0.25">
      <c r="A26">
        <v>240</v>
      </c>
      <c r="B26">
        <v>27359</v>
      </c>
    </row>
    <row r="27" spans="1:2" x14ac:dyDescent="0.25">
      <c r="A27">
        <v>250</v>
      </c>
      <c r="B27">
        <v>28604</v>
      </c>
    </row>
    <row r="28" spans="1:2" x14ac:dyDescent="0.25">
      <c r="A28">
        <v>260</v>
      </c>
      <c r="B28">
        <v>29849</v>
      </c>
    </row>
    <row r="29" spans="1:2" x14ac:dyDescent="0.25">
      <c r="A29">
        <v>270</v>
      </c>
      <c r="B29">
        <v>31095</v>
      </c>
    </row>
    <row r="30" spans="1:2" x14ac:dyDescent="0.25">
      <c r="A30">
        <v>280</v>
      </c>
      <c r="B30">
        <v>32340</v>
      </c>
    </row>
    <row r="31" spans="1:2" x14ac:dyDescent="0.25">
      <c r="A31">
        <v>290</v>
      </c>
      <c r="B31">
        <v>33585</v>
      </c>
    </row>
    <row r="32" spans="1:2" x14ac:dyDescent="0.25">
      <c r="A32">
        <v>300</v>
      </c>
      <c r="B32">
        <v>34831</v>
      </c>
    </row>
    <row r="33" spans="1:2" x14ac:dyDescent="0.25">
      <c r="A33">
        <v>310</v>
      </c>
      <c r="B33">
        <v>36076</v>
      </c>
    </row>
    <row r="34" spans="1:2" x14ac:dyDescent="0.25">
      <c r="A34">
        <v>320</v>
      </c>
      <c r="B34">
        <v>37322</v>
      </c>
    </row>
    <row r="35" spans="1:2" x14ac:dyDescent="0.25">
      <c r="A35">
        <v>330</v>
      </c>
      <c r="B35">
        <v>38567</v>
      </c>
    </row>
    <row r="36" spans="1:2" x14ac:dyDescent="0.25">
      <c r="A36">
        <v>340</v>
      </c>
      <c r="B36">
        <v>39812</v>
      </c>
    </row>
    <row r="37" spans="1:2" x14ac:dyDescent="0.25">
      <c r="A37">
        <v>350</v>
      </c>
      <c r="B37">
        <v>41058</v>
      </c>
    </row>
    <row r="38" spans="1:2" x14ac:dyDescent="0.25">
      <c r="A38">
        <v>360</v>
      </c>
      <c r="B38">
        <v>42303</v>
      </c>
    </row>
    <row r="39" spans="1:2" x14ac:dyDescent="0.25">
      <c r="A39">
        <v>370</v>
      </c>
      <c r="B39">
        <v>43548</v>
      </c>
    </row>
    <row r="40" spans="1:2" x14ac:dyDescent="0.25">
      <c r="A40">
        <v>380</v>
      </c>
      <c r="B40">
        <v>44794</v>
      </c>
    </row>
    <row r="41" spans="1:2" x14ac:dyDescent="0.25">
      <c r="A41">
        <v>390</v>
      </c>
      <c r="B41">
        <v>46039</v>
      </c>
    </row>
    <row r="42" spans="1:2" x14ac:dyDescent="0.25">
      <c r="A42">
        <v>400</v>
      </c>
      <c r="B42">
        <v>47385</v>
      </c>
    </row>
    <row r="43" spans="1:2" x14ac:dyDescent="0.25">
      <c r="A43">
        <v>410</v>
      </c>
      <c r="B43">
        <v>48530</v>
      </c>
    </row>
    <row r="44" spans="1:2" x14ac:dyDescent="0.25">
      <c r="A44">
        <v>420</v>
      </c>
      <c r="B44">
        <v>49775</v>
      </c>
    </row>
    <row r="45" spans="1:2" x14ac:dyDescent="0.25">
      <c r="A45">
        <v>430</v>
      </c>
      <c r="B45">
        <v>51021</v>
      </c>
    </row>
    <row r="46" spans="1:2" x14ac:dyDescent="0.25">
      <c r="A46">
        <v>432</v>
      </c>
      <c r="B46">
        <v>51295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7BFDB5-503B-47F0-9D55-7EF7B0DE8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768F0-6532-4A5A-B7D5-AE8B9571FA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47BBC9-1546-40FD-A200-FA5DC317919F}">
  <ds:schemaRefs>
    <ds:schemaRef ds:uri="http://schemas.microsoft.com/office/infopath/2007/PartnerControls"/>
    <ds:schemaRef ds:uri="c7e9e12b-e488-4582-bba1-43117c8a34f0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SONDAGEM LH1500</vt:lpstr>
      <vt:lpstr>TQ 4CT</vt:lpstr>
      <vt:lpstr>04BB.BE</vt:lpstr>
      <vt:lpstr>TQ 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2022-08-30T02:51:11Z</dcterms:created>
  <dcterms:modified xsi:type="dcterms:W3CDTF">2022-09-20T20:37:37Z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